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YOTA-PC2\Desktop\確定申告関係\2026\"/>
    </mc:Choice>
  </mc:AlternateContent>
  <xr:revisionPtr revIDLastSave="0" documentId="13_ncr:1_{7233DC50-7102-4F1F-8024-F53B41AFCC5F}" xr6:coauthVersionLast="47" xr6:coauthVersionMax="47" xr10:uidLastSave="{00000000-0000-0000-0000-000000000000}"/>
  <bookViews>
    <workbookView xWindow="-17355" yWindow="345" windowWidth="15900" windowHeight="15720" tabRatio="929" activeTab="3" xr2:uid="{00000000-000D-0000-FFFF-FFFF00000000}"/>
  </bookViews>
  <sheets>
    <sheet name="納品請求書1枚版" sheetId="2" r:id="rId1"/>
    <sheet name="入力消費税なし" sheetId="8" r:id="rId2"/>
    <sheet name="仕訳" sheetId="4" r:id="rId3"/>
    <sheet name="相手先マスタ" sheetId="5" r:id="rId4"/>
    <sheet name="科目マスタ" sheetId="6" r:id="rId5"/>
    <sheet name="消費税マスタ" sheetId="7" r:id="rId6"/>
    <sheet name="固定資産台帳" sheetId="9" r:id="rId7"/>
    <sheet name="納品請求書消費税版" sheetId="10" r:id="rId8"/>
    <sheet name="入力消費税あり" sheetId="3" r:id="rId9"/>
  </sheets>
  <functionGroups builtInGroupCount="19"/>
  <definedNames>
    <definedName name="_A">#REF!</definedName>
    <definedName name="_xlnm._FilterDatabase" localSheetId="2" hidden="1">仕訳!$A$1:$H$131</definedName>
    <definedName name="Excel_BuiltIn_Print_Area" localSheetId="0">納品請求書1枚版!#REF!</definedName>
    <definedName name="Excel_BuiltIn_Print_Area" localSheetId="7">納品請求書消費税版!#REF!</definedName>
    <definedName name="Excel_BuiltIn_Print_Area_1">#REF!</definedName>
    <definedName name="NEWPAGE">#REF!</definedName>
    <definedName name="_xlnm.Print_Area" localSheetId="0">納品請求書1枚版!$A$1:$I$102</definedName>
    <definedName name="_xlnm.Print_Area" localSheetId="7">納品請求書消費税版!$A$1:$I$102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 i="10" l="1"/>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87" i="10"/>
  <c r="Q88" i="10"/>
  <c r="Q89" i="10"/>
  <c r="Q90" i="10"/>
  <c r="Q91" i="10"/>
  <c r="Q92" i="10"/>
  <c r="Q93" i="10"/>
  <c r="Q94" i="10"/>
  <c r="Q95" i="10"/>
  <c r="Q96" i="10"/>
  <c r="Q97" i="10"/>
  <c r="Q98" i="10"/>
  <c r="Q99" i="10"/>
  <c r="Q100" i="10"/>
  <c r="Q101" i="10"/>
  <c r="Q102" i="10"/>
  <c r="Q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5" i="10"/>
  <c r="H58" i="2"/>
  <c r="G57" i="2"/>
  <c r="A57" i="2"/>
  <c r="G56" i="2"/>
  <c r="A55" i="2"/>
  <c r="I54" i="2"/>
  <c r="B54" i="2"/>
  <c r="H53" i="2"/>
  <c r="H29" i="2"/>
  <c r="H58" i="10"/>
  <c r="G57" i="10"/>
  <c r="G56" i="10"/>
  <c r="C2" i="6"/>
  <c r="D13" i="2"/>
  <c r="H14" i="2"/>
  <c r="L12" i="4"/>
  <c r="I2" i="9"/>
  <c r="I3" i="9"/>
  <c r="I5" i="9"/>
  <c r="L9" i="4"/>
  <c r="L5" i="4"/>
  <c r="L7" i="4" s="1"/>
  <c r="L10" i="4" s="1"/>
  <c r="B25" i="2" l="1"/>
  <c r="E22" i="10"/>
  <c r="E45" i="10" s="1"/>
  <c r="C6" i="7"/>
  <c r="D6" i="7"/>
  <c r="C3" i="6"/>
  <c r="C4" i="6"/>
  <c r="C5" i="6"/>
  <c r="C6" i="6"/>
  <c r="C7" i="6"/>
  <c r="C8" i="6"/>
  <c r="C9" i="6"/>
  <c r="C10" i="6"/>
  <c r="C11" i="6"/>
  <c r="C13" i="6"/>
  <c r="C14" i="6"/>
  <c r="C15" i="6"/>
  <c r="C16" i="6"/>
  <c r="C17" i="6"/>
  <c r="C18" i="6"/>
  <c r="C19" i="6"/>
  <c r="C20" i="6"/>
  <c r="C21" i="6"/>
  <c r="C22" i="6"/>
  <c r="C23" i="6"/>
  <c r="C24" i="6"/>
  <c r="C25" i="6"/>
  <c r="C26" i="6"/>
  <c r="C27" i="6"/>
  <c r="C28" i="6"/>
  <c r="C29" i="6"/>
  <c r="C30" i="6"/>
  <c r="C31" i="6"/>
  <c r="C32" i="6"/>
  <c r="C33" i="6"/>
  <c r="F44" i="10"/>
  <c r="H92" i="10"/>
  <c r="D92" i="10"/>
  <c r="D91" i="10"/>
  <c r="H90" i="10"/>
  <c r="D89" i="10"/>
  <c r="H88" i="10"/>
  <c r="D87" i="10"/>
  <c r="H86" i="10"/>
  <c r="D85" i="10"/>
  <c r="H84" i="10"/>
  <c r="D83" i="10"/>
  <c r="H82" i="10"/>
  <c r="D81" i="10"/>
  <c r="H80" i="10"/>
  <c r="D79" i="10"/>
  <c r="H78" i="10"/>
  <c r="D77" i="10"/>
  <c r="H76" i="10"/>
  <c r="D75" i="10"/>
  <c r="H74" i="10"/>
  <c r="D73" i="10"/>
  <c r="H72" i="10"/>
  <c r="D71" i="10"/>
  <c r="H70" i="10"/>
  <c r="D69" i="10"/>
  <c r="H68" i="10"/>
  <c r="D67" i="10"/>
  <c r="H66" i="10"/>
  <c r="D65" i="10"/>
  <c r="H64" i="10"/>
  <c r="D63" i="10"/>
  <c r="I54" i="10"/>
  <c r="B54" i="10"/>
  <c r="H53" i="10"/>
  <c r="H45" i="10"/>
  <c r="F45" i="10"/>
  <c r="G43" i="10"/>
  <c r="F43" i="10"/>
  <c r="D43" i="10"/>
  <c r="C42" i="10"/>
  <c r="B42" i="10"/>
  <c r="A42" i="10"/>
  <c r="I41" i="10"/>
  <c r="G41" i="10"/>
  <c r="F41" i="10"/>
  <c r="D41" i="10"/>
  <c r="C40" i="10"/>
  <c r="B40" i="10"/>
  <c r="A40" i="10"/>
  <c r="I39" i="10"/>
  <c r="G39" i="10"/>
  <c r="F39" i="10"/>
  <c r="D39" i="10"/>
  <c r="C38" i="10"/>
  <c r="B38" i="10"/>
  <c r="A38" i="10"/>
  <c r="I37" i="10"/>
  <c r="G37" i="10"/>
  <c r="F37" i="10"/>
  <c r="D37" i="10"/>
  <c r="C36" i="10"/>
  <c r="B36" i="10"/>
  <c r="A36" i="10"/>
  <c r="G35" i="10"/>
  <c r="F35" i="10"/>
  <c r="D35" i="10"/>
  <c r="I34" i="10"/>
  <c r="G34" i="10"/>
  <c r="C34" i="10"/>
  <c r="B34" i="10"/>
  <c r="A34" i="10"/>
  <c r="G28" i="10"/>
  <c r="G27" i="10"/>
  <c r="B25" i="10"/>
  <c r="I24" i="10"/>
  <c r="H24" i="10"/>
  <c r="H20" i="10"/>
  <c r="H43" i="10" s="1"/>
  <c r="D19" i="10"/>
  <c r="D42" i="10" s="1"/>
  <c r="H18" i="10"/>
  <c r="H41" i="10" s="1"/>
  <c r="D17" i="10"/>
  <c r="D40" i="10" s="1"/>
  <c r="H16" i="10"/>
  <c r="D15" i="10"/>
  <c r="D38" i="10" s="1"/>
  <c r="H14" i="10"/>
  <c r="H37" i="10" s="1"/>
  <c r="D13" i="10"/>
  <c r="D36" i="10" s="1"/>
  <c r="H12" i="10"/>
  <c r="D11" i="10"/>
  <c r="D34" i="10" s="1"/>
  <c r="M8" i="10"/>
  <c r="M7" i="10" s="1"/>
  <c r="A5" i="10"/>
  <c r="A3" i="10"/>
  <c r="I2" i="10"/>
  <c r="I25" i="10" s="1"/>
  <c r="H92" i="2"/>
  <c r="H90" i="2"/>
  <c r="H88" i="2"/>
  <c r="H86" i="2"/>
  <c r="H84" i="2"/>
  <c r="H82" i="2"/>
  <c r="H80" i="2"/>
  <c r="H78" i="2"/>
  <c r="H76" i="2"/>
  <c r="H74" i="2"/>
  <c r="H72" i="2"/>
  <c r="H70" i="2"/>
  <c r="H68" i="2"/>
  <c r="H66" i="2"/>
  <c r="H64" i="2"/>
  <c r="D91" i="2"/>
  <c r="D89" i="2"/>
  <c r="D87" i="2"/>
  <c r="D85" i="2"/>
  <c r="D83" i="2"/>
  <c r="D81" i="2"/>
  <c r="D79" i="2"/>
  <c r="D77" i="2"/>
  <c r="D75" i="2"/>
  <c r="D73" i="2"/>
  <c r="D71" i="2"/>
  <c r="D69" i="2"/>
  <c r="D67" i="2"/>
  <c r="D65" i="2"/>
  <c r="D63" i="2"/>
  <c r="D11" i="2"/>
  <c r="D92" i="2"/>
  <c r="M8" i="2"/>
  <c r="G27" i="2"/>
  <c r="D8" i="4"/>
  <c r="C12" i="6" s="1"/>
  <c r="D19" i="2"/>
  <c r="D42" i="2" s="1"/>
  <c r="D17" i="2"/>
  <c r="D40" i="2" s="1"/>
  <c r="A5" i="2"/>
  <c r="D15" i="2"/>
  <c r="D38" i="2" s="1"/>
  <c r="D36" i="2"/>
  <c r="H12" i="2"/>
  <c r="H16" i="2"/>
  <c r="H18" i="2"/>
  <c r="H20" i="2"/>
  <c r="A3" i="2"/>
  <c r="H93" i="10" l="1"/>
  <c r="H35" i="10"/>
  <c r="H21" i="10"/>
  <c r="H39" i="10"/>
  <c r="M21" i="10"/>
  <c r="A57" i="10"/>
  <c r="A28" i="10"/>
  <c r="A55" i="10"/>
  <c r="A26" i="10"/>
  <c r="H93" i="2"/>
  <c r="I94" i="2" s="1"/>
  <c r="H21" i="2"/>
  <c r="D3" i="7"/>
  <c r="D4" i="7"/>
  <c r="D5" i="7"/>
  <c r="D7" i="7"/>
  <c r="D8" i="7"/>
  <c r="D9" i="7"/>
  <c r="D2" i="7"/>
  <c r="C2" i="7"/>
  <c r="C3" i="7"/>
  <c r="C4" i="7"/>
  <c r="C5" i="7"/>
  <c r="C7" i="7"/>
  <c r="C8" i="7"/>
  <c r="C9" i="7"/>
  <c r="D34" i="2"/>
  <c r="H43" i="2"/>
  <c r="H37" i="2"/>
  <c r="G28" i="2"/>
  <c r="H35" i="2"/>
  <c r="A28" i="2"/>
  <c r="A26" i="2"/>
  <c r="G35" i="2"/>
  <c r="H45" i="2"/>
  <c r="F45" i="2"/>
  <c r="E45" i="2"/>
  <c r="G44" i="2"/>
  <c r="G43" i="2"/>
  <c r="F43" i="2"/>
  <c r="D43" i="2"/>
  <c r="C42" i="2"/>
  <c r="B42" i="2"/>
  <c r="A42" i="2"/>
  <c r="I41" i="2"/>
  <c r="G41" i="2"/>
  <c r="F41" i="2"/>
  <c r="D41" i="2"/>
  <c r="C40" i="2"/>
  <c r="B40" i="2"/>
  <c r="A40" i="2"/>
  <c r="I39" i="2"/>
  <c r="H39" i="2"/>
  <c r="G39" i="2"/>
  <c r="F39" i="2"/>
  <c r="D39" i="2"/>
  <c r="C38" i="2"/>
  <c r="B38" i="2"/>
  <c r="A38" i="2"/>
  <c r="I37" i="2"/>
  <c r="F37" i="2"/>
  <c r="D37" i="2"/>
  <c r="C36" i="2"/>
  <c r="B36" i="2"/>
  <c r="A36" i="2"/>
  <c r="F35" i="2"/>
  <c r="D35" i="2"/>
  <c r="I34" i="2"/>
  <c r="G34" i="2"/>
  <c r="C34" i="2"/>
  <c r="B34" i="2"/>
  <c r="A34" i="2"/>
  <c r="I24" i="2"/>
  <c r="H24" i="2"/>
  <c r="M7" i="2"/>
  <c r="I2" i="2"/>
  <c r="I25" i="2" s="1"/>
  <c r="I94" i="10" l="1"/>
  <c r="G94" i="10"/>
  <c r="G93" i="10"/>
  <c r="H44" i="10"/>
  <c r="G21" i="10"/>
  <c r="G44" i="10" s="1"/>
  <c r="G22" i="10"/>
  <c r="G45" i="10" s="1"/>
  <c r="I22" i="10"/>
  <c r="I45" i="10" s="1"/>
  <c r="M21" i="2"/>
  <c r="H41" i="2"/>
  <c r="I22" i="2" l="1"/>
  <c r="H44" i="2"/>
  <c r="G45" i="2" l="1"/>
  <c r="I45" i="2" s="1"/>
</calcChain>
</file>

<file path=xl/sharedStrings.xml><?xml version="1.0" encoding="utf-8"?>
<sst xmlns="http://schemas.openxmlformats.org/spreadsheetml/2006/main" count="587" uniqueCount="249">
  <si>
    <t>REFNo.は西暦2桁月2桁日2桁その日の発行順2桁の計8桁の数字とする</t>
  </si>
  <si>
    <t xml:space="preserve"> </t>
  </si>
  <si>
    <t>納品書</t>
  </si>
  <si>
    <t>(検収依頼書)</t>
  </si>
  <si>
    <t>REF No.</t>
  </si>
  <si>
    <t>請求書</t>
  </si>
  <si>
    <t xml:space="preserve">コード: </t>
  </si>
  <si>
    <t>　拝啓 時下ますますご清栄のこととお慶び申し上げます。</t>
  </si>
  <si>
    <t>　下記のとおり納品致しましたので、ご検収方お願い申し上げます。</t>
  </si>
  <si>
    <t>　下記のとおりご請求申し上げます。</t>
  </si>
  <si>
    <t>　品　　　　名</t>
  </si>
  <si>
    <t>数 量</t>
  </si>
  <si>
    <t>単　価</t>
  </si>
  <si>
    <t>金　額</t>
  </si>
  <si>
    <t>摘　　　要</t>
  </si>
  <si>
    <t>　合　　　　計</t>
  </si>
  <si>
    <t>税 額</t>
  </si>
  <si>
    <t>※この伝票が本伝です</t>
  </si>
  <si>
    <t xml:space="preserve"> [振込先1]</t>
  </si>
  <si>
    <t xml:space="preserve"> [振込先2]</t>
  </si>
  <si>
    <t>宛先の名前が違う時は直接書いても良しマスター↓を書き換えても良い</t>
  </si>
  <si>
    <t>↑日付変更</t>
  </si>
  <si>
    <t>発行した伝票は必ずPDFにてこのディレクトリに残すこと(ボタンワンクリック)</t>
  </si>
  <si>
    <t>コード</t>
  </si>
  <si>
    <t xml:space="preserve"> ※この伝票が本伝です。 </t>
  </si>
  <si>
    <t>お支払いは下記口座にお振り込みくださいますようお願い申し上げます。　　敬具</t>
    <rPh sb="7" eb="9">
      <t>コウザ</t>
    </rPh>
    <phoneticPr fontId="2"/>
  </si>
  <si>
    <t>品名</t>
    <rPh sb="0" eb="1">
      <t>シナ</t>
    </rPh>
    <rPh sb="1" eb="2">
      <t>メイ</t>
    </rPh>
    <phoneticPr fontId="2"/>
  </si>
  <si>
    <t>米</t>
    <rPh sb="0" eb="1">
      <t>コメ</t>
    </rPh>
    <phoneticPr fontId="2"/>
  </si>
  <si>
    <t>野菜</t>
    <rPh sb="0" eb="2">
      <t>ヤサイ</t>
    </rPh>
    <phoneticPr fontId="2"/>
  </si>
  <si>
    <t>日付</t>
    <rPh sb="0" eb="2">
      <t>ヒヅケ</t>
    </rPh>
    <phoneticPr fontId="2"/>
  </si>
  <si>
    <t>相手先</t>
    <rPh sb="0" eb="2">
      <t>アイテ</t>
    </rPh>
    <rPh sb="2" eb="3">
      <t>サキ</t>
    </rPh>
    <phoneticPr fontId="2"/>
  </si>
  <si>
    <t>経理区分</t>
    <rPh sb="0" eb="2">
      <t>ケイリ</t>
    </rPh>
    <rPh sb="2" eb="4">
      <t>クブン</t>
    </rPh>
    <phoneticPr fontId="2"/>
  </si>
  <si>
    <t>金額</t>
    <rPh sb="0" eb="2">
      <t>キンガク</t>
    </rPh>
    <phoneticPr fontId="2"/>
  </si>
  <si>
    <t>消費税率</t>
    <rPh sb="0" eb="3">
      <t>ショウヒゼイ</t>
    </rPh>
    <rPh sb="3" eb="4">
      <t>リツ</t>
    </rPh>
    <phoneticPr fontId="2"/>
  </si>
  <si>
    <t>摘要</t>
    <rPh sb="0" eb="2">
      <t>テキヨウ</t>
    </rPh>
    <phoneticPr fontId="2"/>
  </si>
  <si>
    <t>相手先コード</t>
    <rPh sb="0" eb="2">
      <t>アイテ</t>
    </rPh>
    <rPh sb="2" eb="3">
      <t>サキ</t>
    </rPh>
    <phoneticPr fontId="2"/>
  </si>
  <si>
    <t>相手先名</t>
    <rPh sb="0" eb="2">
      <t>アイテ</t>
    </rPh>
    <rPh sb="2" eb="3">
      <t>サキ</t>
    </rPh>
    <rPh sb="3" eb="4">
      <t>メイ</t>
    </rPh>
    <phoneticPr fontId="2"/>
  </si>
  <si>
    <t>住所</t>
    <rPh sb="0" eb="2">
      <t>ジュウショ</t>
    </rPh>
    <phoneticPr fontId="2"/>
  </si>
  <si>
    <t>略称</t>
    <rPh sb="0" eb="2">
      <t>リャクショウ</t>
    </rPh>
    <phoneticPr fontId="2"/>
  </si>
  <si>
    <t>科目コード</t>
    <rPh sb="0" eb="2">
      <t>カモク</t>
    </rPh>
    <phoneticPr fontId="2"/>
  </si>
  <si>
    <t>科目名</t>
    <rPh sb="0" eb="3">
      <t>カモクメイ</t>
    </rPh>
    <phoneticPr fontId="2"/>
  </si>
  <si>
    <t>消費税名目</t>
    <rPh sb="0" eb="3">
      <t>ショウヒゼイ</t>
    </rPh>
    <rPh sb="3" eb="5">
      <t>メイモク</t>
    </rPh>
    <phoneticPr fontId="2"/>
  </si>
  <si>
    <t>10％インボイス付き</t>
    <rPh sb="8" eb="9">
      <t>ツ</t>
    </rPh>
    <phoneticPr fontId="2"/>
  </si>
  <si>
    <t>10％インボイス無し</t>
    <rPh sb="8" eb="9">
      <t>ナ</t>
    </rPh>
    <phoneticPr fontId="2"/>
  </si>
  <si>
    <t>売上</t>
    <rPh sb="0" eb="2">
      <t>ウリアゲ</t>
    </rPh>
    <phoneticPr fontId="2"/>
  </si>
  <si>
    <t>通信費</t>
    <rPh sb="0" eb="3">
      <t>ツウシンヒ</t>
    </rPh>
    <phoneticPr fontId="2"/>
  </si>
  <si>
    <t>水道光熱費</t>
    <rPh sb="0" eb="2">
      <t>スイドウ</t>
    </rPh>
    <rPh sb="2" eb="5">
      <t>コウネツヒ</t>
    </rPh>
    <phoneticPr fontId="2"/>
  </si>
  <si>
    <t>仕入</t>
    <rPh sb="0" eb="2">
      <t>シイレ</t>
    </rPh>
    <phoneticPr fontId="2"/>
  </si>
  <si>
    <t>消耗品費</t>
    <rPh sb="0" eb="3">
      <t>ショウモウヒン</t>
    </rPh>
    <rPh sb="3" eb="4">
      <t>ヒ</t>
    </rPh>
    <phoneticPr fontId="2"/>
  </si>
  <si>
    <t>自家消費</t>
    <rPh sb="0" eb="2">
      <t>ジカ</t>
    </rPh>
    <rPh sb="2" eb="4">
      <t>ショウヒ</t>
    </rPh>
    <phoneticPr fontId="2"/>
  </si>
  <si>
    <t>備品費</t>
    <rPh sb="0" eb="3">
      <t>ビヒンヒ</t>
    </rPh>
    <phoneticPr fontId="2"/>
  </si>
  <si>
    <t>運送費</t>
    <rPh sb="0" eb="3">
      <t>ウンソウヒ</t>
    </rPh>
    <phoneticPr fontId="2"/>
  </si>
  <si>
    <t>人件費</t>
    <rPh sb="0" eb="3">
      <t>ジンケンヒ</t>
    </rPh>
    <phoneticPr fontId="2"/>
  </si>
  <si>
    <t>福利厚生費</t>
    <rPh sb="0" eb="2">
      <t>フクリ</t>
    </rPh>
    <rPh sb="2" eb="5">
      <t>コウセイヒ</t>
    </rPh>
    <phoneticPr fontId="2"/>
  </si>
  <si>
    <t>設備費</t>
    <rPh sb="0" eb="3">
      <t>セツビヒ</t>
    </rPh>
    <phoneticPr fontId="2"/>
  </si>
  <si>
    <t>車両運搬具</t>
    <rPh sb="0" eb="2">
      <t>シャリョウ</t>
    </rPh>
    <rPh sb="2" eb="4">
      <t>ウンパン</t>
    </rPh>
    <rPh sb="4" eb="5">
      <t>グ</t>
    </rPh>
    <phoneticPr fontId="2"/>
  </si>
  <si>
    <t>建物</t>
    <rPh sb="0" eb="2">
      <t>タテモノ</t>
    </rPh>
    <phoneticPr fontId="2"/>
  </si>
  <si>
    <t>建物附属設備</t>
    <rPh sb="0" eb="6">
      <t>タテモノフゾクセツビ</t>
    </rPh>
    <phoneticPr fontId="2"/>
  </si>
  <si>
    <t>器具備品</t>
    <rPh sb="0" eb="2">
      <t>キグ</t>
    </rPh>
    <rPh sb="2" eb="4">
      <t>ビヒン</t>
    </rPh>
    <phoneticPr fontId="2"/>
  </si>
  <si>
    <t>接待交際費</t>
    <rPh sb="0" eb="2">
      <t>セッタイ</t>
    </rPh>
    <rPh sb="2" eb="5">
      <t>コウサイヒ</t>
    </rPh>
    <phoneticPr fontId="2"/>
  </si>
  <si>
    <t>租税公課</t>
    <rPh sb="0" eb="2">
      <t>ソゼイ</t>
    </rPh>
    <rPh sb="2" eb="4">
      <t>コウカ</t>
    </rPh>
    <phoneticPr fontId="2"/>
  </si>
  <si>
    <t>仮受消費税</t>
    <rPh sb="0" eb="2">
      <t>カリウケ</t>
    </rPh>
    <rPh sb="2" eb="5">
      <t>ショウヒゼイ</t>
    </rPh>
    <phoneticPr fontId="2"/>
  </si>
  <si>
    <t>仮払消費税</t>
    <rPh sb="0" eb="5">
      <t>カリバライショウヒゼイ</t>
    </rPh>
    <phoneticPr fontId="2"/>
  </si>
  <si>
    <t>受取消費税</t>
    <rPh sb="0" eb="2">
      <t>ウケトリ</t>
    </rPh>
    <rPh sb="2" eb="5">
      <t>ショウヒゼイ</t>
    </rPh>
    <phoneticPr fontId="2"/>
  </si>
  <si>
    <t>還付消費税（事業主借）</t>
    <rPh sb="0" eb="2">
      <t>カンプ</t>
    </rPh>
    <rPh sb="2" eb="5">
      <t>ショウヒゼイ</t>
    </rPh>
    <rPh sb="6" eb="9">
      <t>ジギョウヌシ</t>
    </rPh>
    <rPh sb="9" eb="10">
      <t>カ</t>
    </rPh>
    <phoneticPr fontId="2"/>
  </si>
  <si>
    <t>本年度統計</t>
    <rPh sb="0" eb="3">
      <t>ホンネンド</t>
    </rPh>
    <rPh sb="3" eb="5">
      <t>トウケイ</t>
    </rPh>
    <phoneticPr fontId="2"/>
  </si>
  <si>
    <t>鈴木</t>
    <rPh sb="0" eb="2">
      <t>スズキ</t>
    </rPh>
    <phoneticPr fontId="2"/>
  </si>
  <si>
    <t>佐藤</t>
    <rPh sb="0" eb="2">
      <t>サトウ</t>
    </rPh>
    <phoneticPr fontId="2"/>
  </si>
  <si>
    <t>田中</t>
    <rPh sb="0" eb="2">
      <t>タナカ</t>
    </rPh>
    <phoneticPr fontId="2"/>
  </si>
  <si>
    <t>番号</t>
    <rPh sb="0" eb="2">
      <t>バンゴウ</t>
    </rPh>
    <phoneticPr fontId="2"/>
  </si>
  <si>
    <t>伝票番号</t>
    <rPh sb="0" eb="2">
      <t>デンピョウ</t>
    </rPh>
    <rPh sb="2" eb="4">
      <t>バンゴウ</t>
    </rPh>
    <phoneticPr fontId="2"/>
  </si>
  <si>
    <t>不課税・非課税</t>
    <rPh sb="0" eb="3">
      <t>フカゼイ</t>
    </rPh>
    <rPh sb="4" eb="7">
      <t>ヒカゼイ</t>
    </rPh>
    <phoneticPr fontId="2"/>
  </si>
  <si>
    <t>名前</t>
    <rPh sb="0" eb="2">
      <t>ナマエ</t>
    </rPh>
    <phoneticPr fontId="2"/>
  </si>
  <si>
    <t>受取分合算</t>
    <rPh sb="0" eb="2">
      <t>ウケトリ</t>
    </rPh>
    <rPh sb="2" eb="3">
      <t>ブン</t>
    </rPh>
    <rPh sb="3" eb="5">
      <t>ガッサン</t>
    </rPh>
    <phoneticPr fontId="2"/>
  </si>
  <si>
    <t>支払分合算</t>
    <rPh sb="0" eb="2">
      <t>シハライ</t>
    </rPh>
    <rPh sb="2" eb="3">
      <t>ブン</t>
    </rPh>
    <rPh sb="3" eb="5">
      <t>ガッサン</t>
    </rPh>
    <phoneticPr fontId="2"/>
  </si>
  <si>
    <t>名称</t>
    <rPh sb="0" eb="2">
      <t>メイショウ</t>
    </rPh>
    <phoneticPr fontId="2"/>
  </si>
  <si>
    <t>取得年月日</t>
    <rPh sb="0" eb="2">
      <t>シュトク</t>
    </rPh>
    <rPh sb="2" eb="5">
      <t>ネンガッピ</t>
    </rPh>
    <phoneticPr fontId="2"/>
  </si>
  <si>
    <t>数量</t>
    <rPh sb="0" eb="2">
      <t>スウリョウ</t>
    </rPh>
    <phoneticPr fontId="2"/>
  </si>
  <si>
    <t>取得価格</t>
    <rPh sb="0" eb="2">
      <t>シュトク</t>
    </rPh>
    <rPh sb="2" eb="4">
      <t>カカク</t>
    </rPh>
    <phoneticPr fontId="2"/>
  </si>
  <si>
    <t>償却方法</t>
    <rPh sb="0" eb="2">
      <t>ショウキャク</t>
    </rPh>
    <rPh sb="2" eb="4">
      <t>ホウホウ</t>
    </rPh>
    <phoneticPr fontId="2"/>
  </si>
  <si>
    <t>耐用年数</t>
    <rPh sb="0" eb="2">
      <t>タイヨウ</t>
    </rPh>
    <rPh sb="2" eb="4">
      <t>ネンスウ</t>
    </rPh>
    <phoneticPr fontId="2"/>
  </si>
  <si>
    <t>償却率</t>
    <rPh sb="0" eb="2">
      <t>ショウキャク</t>
    </rPh>
    <rPh sb="2" eb="3">
      <t>リツ</t>
    </rPh>
    <phoneticPr fontId="2"/>
  </si>
  <si>
    <t>本年分の償却費</t>
    <rPh sb="0" eb="2">
      <t>ホンネン</t>
    </rPh>
    <rPh sb="2" eb="3">
      <t>ブン</t>
    </rPh>
    <rPh sb="4" eb="6">
      <t>ショウキャク</t>
    </rPh>
    <rPh sb="6" eb="7">
      <t>ヒ</t>
    </rPh>
    <phoneticPr fontId="2"/>
  </si>
  <si>
    <t>期末松償却残高</t>
    <rPh sb="0" eb="2">
      <t>キマツ</t>
    </rPh>
    <rPh sb="2" eb="3">
      <t>マツ</t>
    </rPh>
    <rPh sb="3" eb="5">
      <t>ショウキャク</t>
    </rPh>
    <rPh sb="5" eb="7">
      <t>ザンダカ</t>
    </rPh>
    <phoneticPr fontId="2"/>
  </si>
  <si>
    <t>摘要・除却日</t>
    <rPh sb="0" eb="2">
      <t>テキヨウ</t>
    </rPh>
    <rPh sb="3" eb="5">
      <t>ジョキャク</t>
    </rPh>
    <rPh sb="5" eb="6">
      <t>ビ</t>
    </rPh>
    <phoneticPr fontId="2"/>
  </si>
  <si>
    <t>トラクター</t>
    <phoneticPr fontId="2"/>
  </si>
  <si>
    <t>コンバイン</t>
    <phoneticPr fontId="2"/>
  </si>
  <si>
    <t>米用冷蔵庫</t>
    <rPh sb="0" eb="2">
      <t>コメヨウ</t>
    </rPh>
    <rPh sb="2" eb="5">
      <t>レイゾウコ</t>
    </rPh>
    <phoneticPr fontId="2"/>
  </si>
  <si>
    <t>R6.1</t>
    <phoneticPr fontId="2"/>
  </si>
  <si>
    <t>R4.9</t>
    <phoneticPr fontId="2"/>
  </si>
  <si>
    <t>R2.10</t>
    <phoneticPr fontId="2"/>
  </si>
  <si>
    <t>定額法</t>
    <rPh sb="0" eb="2">
      <t>テイガク</t>
    </rPh>
    <rPh sb="2" eb="3">
      <t>ホウ</t>
    </rPh>
    <phoneticPr fontId="2"/>
  </si>
  <si>
    <t>7年</t>
    <rPh sb="1" eb="2">
      <t>ネン</t>
    </rPh>
    <phoneticPr fontId="2"/>
  </si>
  <si>
    <t>6年</t>
    <rPh sb="1" eb="2">
      <t>ネン</t>
    </rPh>
    <phoneticPr fontId="2"/>
  </si>
  <si>
    <t>旧機械群</t>
    <rPh sb="0" eb="1">
      <t>キュウ</t>
    </rPh>
    <rPh sb="1" eb="3">
      <t>キカイ</t>
    </rPh>
    <rPh sb="3" eb="4">
      <t>グン</t>
    </rPh>
    <phoneticPr fontId="2"/>
  </si>
  <si>
    <t>~H28</t>
    <phoneticPr fontId="2"/>
  </si>
  <si>
    <t>1(備忘価格)</t>
    <rPh sb="2" eb="4">
      <t>ビボウ</t>
    </rPh>
    <rPh sb="4" eb="6">
      <t>カカク</t>
    </rPh>
    <phoneticPr fontId="2"/>
  </si>
  <si>
    <t>-</t>
    <phoneticPr fontId="2"/>
  </si>
  <si>
    <t>コード</t>
    <phoneticPr fontId="2"/>
  </si>
  <si>
    <t>売上</t>
  </si>
  <si>
    <t>金　額</t>
    <rPh sb="0" eb="1">
      <t>キン</t>
    </rPh>
    <rPh sb="2" eb="3">
      <t>ガク</t>
    </rPh>
    <phoneticPr fontId="2"/>
  </si>
  <si>
    <t>　合　　　　計</t>
    <phoneticPr fontId="2"/>
  </si>
  <si>
    <t>農薬衛生費</t>
  </si>
  <si>
    <t>農薬衛生費</t>
    <rPh sb="0" eb="5">
      <t>ノウヤクエイセイヒ</t>
    </rPh>
    <phoneticPr fontId="2"/>
  </si>
  <si>
    <t>種苗費</t>
    <rPh sb="0" eb="3">
      <t>シュビョウヒ</t>
    </rPh>
    <phoneticPr fontId="2"/>
  </si>
  <si>
    <t>肥料費</t>
    <rPh sb="0" eb="3">
      <t>ヒリョウヒ</t>
    </rPh>
    <phoneticPr fontId="2"/>
  </si>
  <si>
    <t>諸材料費</t>
    <rPh sb="0" eb="1">
      <t>ショ</t>
    </rPh>
    <rPh sb="1" eb="4">
      <t>ザイリョウヒ</t>
    </rPh>
    <phoneticPr fontId="2"/>
  </si>
  <si>
    <t>農具費</t>
    <rPh sb="0" eb="2">
      <t>ノウグ</t>
    </rPh>
    <rPh sb="2" eb="3">
      <t>ヒ</t>
    </rPh>
    <phoneticPr fontId="2"/>
  </si>
  <si>
    <t>雑費</t>
    <rPh sb="0" eb="2">
      <t>ザッピ</t>
    </rPh>
    <phoneticPr fontId="2"/>
  </si>
  <si>
    <t>車両・燃料費</t>
    <rPh sb="0" eb="2">
      <t>シャリョウ</t>
    </rPh>
    <rPh sb="3" eb="6">
      <t>ネンリョウヒ</t>
    </rPh>
    <phoneticPr fontId="2"/>
  </si>
  <si>
    <t>容器包装費</t>
    <rPh sb="0" eb="2">
      <t>ヨウキ</t>
    </rPh>
    <rPh sb="2" eb="4">
      <t>ホウソウ</t>
    </rPh>
    <rPh sb="4" eb="5">
      <t>ヒ</t>
    </rPh>
    <phoneticPr fontId="2"/>
  </si>
  <si>
    <t>修繕費</t>
    <rPh sb="0" eb="3">
      <t>シュウゼンヒ</t>
    </rPh>
    <phoneticPr fontId="2"/>
  </si>
  <si>
    <t>出張旅費</t>
    <rPh sb="0" eb="4">
      <t>シュッチョウリョヒ</t>
    </rPh>
    <phoneticPr fontId="2"/>
  </si>
  <si>
    <t>支払手数料</t>
    <rPh sb="0" eb="5">
      <t>シハライテスウリョウ</t>
    </rPh>
    <phoneticPr fontId="2"/>
  </si>
  <si>
    <t>送料</t>
    <rPh sb="0" eb="2">
      <t>ソウリョウ</t>
    </rPh>
    <phoneticPr fontId="2"/>
  </si>
  <si>
    <t>精米代</t>
    <rPh sb="0" eb="3">
      <t>セイマイダイ</t>
    </rPh>
    <phoneticPr fontId="2"/>
  </si>
  <si>
    <t>渡辺</t>
    <rPh sb="0" eb="2">
      <t>ワタナベ</t>
    </rPh>
    <phoneticPr fontId="2"/>
  </si>
  <si>
    <t>野菜一式</t>
    <rPh sb="0" eb="4">
      <t>ヤサイイッシキ</t>
    </rPh>
    <phoneticPr fontId="2"/>
  </si>
  <si>
    <t>米12kg、精米代、送料</t>
  </si>
  <si>
    <t>米12kg、精米、野菜、送料</t>
  </si>
  <si>
    <t>米24ｋｇ、精米、送料</t>
  </si>
  <si>
    <t>米24kg、精米代、送料</t>
  </si>
  <si>
    <t>米24kg、精米、野菜一式、送料</t>
  </si>
  <si>
    <t>農協</t>
  </si>
  <si>
    <t>テクリード、スミチオン、ダコレート、タチガレン</t>
  </si>
  <si>
    <t>米12ｋｇ、精米、野菜、送料</t>
    <phoneticPr fontId="2"/>
  </si>
  <si>
    <t>ヤマト運輸</t>
  </si>
  <si>
    <t>運送費</t>
  </si>
  <si>
    <t>１月分運賃</t>
  </si>
  <si>
    <t>２月分運賃</t>
  </si>
  <si>
    <t>３月分運賃</t>
  </si>
  <si>
    <t>４月分運賃</t>
  </si>
  <si>
    <t>５月分運賃</t>
  </si>
  <si>
    <t>６月分運賃</t>
  </si>
  <si>
    <t>７月分運賃</t>
  </si>
  <si>
    <t>水道光熱費</t>
  </si>
  <si>
    <t>電気料金（農業倉庫）１月分</t>
  </si>
  <si>
    <t>電気料金（農業倉庫）２月分</t>
  </si>
  <si>
    <t>電気料金（農業倉庫）３月分</t>
  </si>
  <si>
    <t>電気料金（農業倉庫）４月分</t>
  </si>
  <si>
    <t>電気料金（農業倉庫）５月分</t>
  </si>
  <si>
    <t>電気料金（農業倉庫）６月分</t>
  </si>
  <si>
    <t>電気料金（農業倉庫）７月分</t>
  </si>
  <si>
    <t>電気料金（家・家事按分50％）１月分</t>
    <rPh sb="2" eb="4">
      <t>リョウキン</t>
    </rPh>
    <rPh sb="16" eb="18">
      <t>ガツブン</t>
    </rPh>
    <phoneticPr fontId="2"/>
  </si>
  <si>
    <t>電気料金（家・家事按分50％）２月分</t>
    <rPh sb="2" eb="4">
      <t>リョウキン</t>
    </rPh>
    <rPh sb="16" eb="18">
      <t>ガツブン</t>
    </rPh>
    <phoneticPr fontId="2"/>
  </si>
  <si>
    <t>電気料金（家・家事按分50％）３月分</t>
    <rPh sb="2" eb="4">
      <t>リョウキン</t>
    </rPh>
    <rPh sb="16" eb="18">
      <t>ガツブン</t>
    </rPh>
    <phoneticPr fontId="2"/>
  </si>
  <si>
    <t>電気料金（家・家事按分50％）４月分</t>
    <rPh sb="2" eb="4">
      <t>リョウキン</t>
    </rPh>
    <rPh sb="16" eb="18">
      <t>ガツブン</t>
    </rPh>
    <phoneticPr fontId="2"/>
  </si>
  <si>
    <t>電気料金（家・家事按分50％）５月分</t>
    <rPh sb="2" eb="4">
      <t>リョウキン</t>
    </rPh>
    <rPh sb="16" eb="18">
      <t>ガツブン</t>
    </rPh>
    <phoneticPr fontId="2"/>
  </si>
  <si>
    <t>電気料金（家・家事按分50％）６月分</t>
    <rPh sb="2" eb="4">
      <t>リョウキン</t>
    </rPh>
    <rPh sb="16" eb="18">
      <t>ガツブン</t>
    </rPh>
    <phoneticPr fontId="2"/>
  </si>
  <si>
    <t>電気料金（家・家事按分50％）７月分</t>
    <rPh sb="2" eb="4">
      <t>リョウキン</t>
    </rPh>
    <rPh sb="16" eb="18">
      <t>ガツブン</t>
    </rPh>
    <phoneticPr fontId="2"/>
  </si>
  <si>
    <t>電気料金（家・家事按分50％）８月分</t>
    <rPh sb="2" eb="4">
      <t>リョウキン</t>
    </rPh>
    <rPh sb="16" eb="18">
      <t>ガツブン</t>
    </rPh>
    <phoneticPr fontId="2"/>
  </si>
  <si>
    <t>電気料金（農業倉庫）８月分</t>
  </si>
  <si>
    <t>米24kg、精米代　野菜</t>
  </si>
  <si>
    <t>米24kg、精米、送料</t>
  </si>
  <si>
    <t>米24ｋｇ　　精米　野菜　送料</t>
  </si>
  <si>
    <t>野菜明細書</t>
    <rPh sb="0" eb="2">
      <t>ヤサイ</t>
    </rPh>
    <rPh sb="2" eb="5">
      <t>メイサイショ</t>
    </rPh>
    <phoneticPr fontId="2"/>
  </si>
  <si>
    <t>合計額</t>
    <phoneticPr fontId="2"/>
  </si>
  <si>
    <t>米の量</t>
    <rPh sb="0" eb="1">
      <t>コメ</t>
    </rPh>
    <rPh sb="2" eb="3">
      <t>リョウ</t>
    </rPh>
    <phoneticPr fontId="2"/>
  </si>
  <si>
    <t>じゃがいも</t>
    <phoneticPr fontId="2"/>
  </si>
  <si>
    <t>オクラ</t>
    <phoneticPr fontId="2"/>
  </si>
  <si>
    <t>ナス</t>
    <phoneticPr fontId="2"/>
  </si>
  <si>
    <t>きゅうり</t>
    <phoneticPr fontId="2"/>
  </si>
  <si>
    <t>たまねぎ</t>
    <phoneticPr fontId="2"/>
  </si>
  <si>
    <r>
      <t>摘　　要</t>
    </r>
    <r>
      <rPr>
        <sz val="8"/>
        <color rgb="FF000000"/>
        <rFont val="ＭＳ Ｐゴシック"/>
        <family val="3"/>
        <charset val="128"/>
      </rPr>
      <t>(下段：量)</t>
    </r>
    <rPh sb="5" eb="7">
      <t>ゲダン</t>
    </rPh>
    <rPh sb="8" eb="9">
      <t>リョウ</t>
    </rPh>
    <phoneticPr fontId="2"/>
  </si>
  <si>
    <t>消費税8%</t>
  </si>
  <si>
    <t>消費税8%</t>
    <rPh sb="0" eb="3">
      <t>ショウヒゼイ</t>
    </rPh>
    <phoneticPr fontId="2"/>
  </si>
  <si>
    <t>税込金額</t>
    <rPh sb="0" eb="2">
      <t>ゼイコミ</t>
    </rPh>
    <rPh sb="2" eb="4">
      <t>キンガク</t>
    </rPh>
    <phoneticPr fontId="2"/>
  </si>
  <si>
    <t>8％インボイス付き</t>
    <rPh sb="7" eb="8">
      <t>ツ</t>
    </rPh>
    <phoneticPr fontId="2"/>
  </si>
  <si>
    <t>8％インボイス無し</t>
    <rPh sb="7" eb="8">
      <t>ナ</t>
    </rPh>
    <phoneticPr fontId="2"/>
  </si>
  <si>
    <t>消費税1%</t>
    <rPh sb="0" eb="3">
      <t>ショウヒゼイ</t>
    </rPh>
    <phoneticPr fontId="2"/>
  </si>
  <si>
    <t>消費税10%</t>
    <phoneticPr fontId="2"/>
  </si>
  <si>
    <t>大根</t>
    <rPh sb="0" eb="2">
      <t>ダイコン</t>
    </rPh>
    <phoneticPr fontId="2"/>
  </si>
  <si>
    <t>諸口</t>
    <rPh sb="0" eb="2">
      <t>ショグチ</t>
    </rPh>
    <phoneticPr fontId="2"/>
  </si>
  <si>
    <t>米24 精米代 野菜一式10袋 送料</t>
    <phoneticPr fontId="2"/>
  </si>
  <si>
    <t>野菜一式 送料</t>
    <phoneticPr fontId="2"/>
  </si>
  <si>
    <t>米24 精米代 送料</t>
    <phoneticPr fontId="2"/>
  </si>
  <si>
    <t>米24 精米代 野菜一式</t>
    <phoneticPr fontId="2"/>
  </si>
  <si>
    <t>米12 精米代 送料</t>
    <phoneticPr fontId="2"/>
  </si>
  <si>
    <t>米12 精米代 送料</t>
  </si>
  <si>
    <t>米24kg 精米代 送料</t>
  </si>
  <si>
    <t>米24kg 精米代 野菜一式 送料</t>
  </si>
  <si>
    <t>米24kg 精米代 野菜一式</t>
  </si>
  <si>
    <t>期首コメ在庫</t>
    <rPh sb="0" eb="2">
      <t>キシュ</t>
    </rPh>
    <rPh sb="4" eb="6">
      <t>ザイコ</t>
    </rPh>
    <phoneticPr fontId="2"/>
  </si>
  <si>
    <t>今期収量</t>
    <rPh sb="0" eb="4">
      <t>コンキシュウリョウ</t>
    </rPh>
    <phoneticPr fontId="2"/>
  </si>
  <si>
    <t>売上分</t>
    <rPh sb="0" eb="3">
      <t>ウリアゲブン</t>
    </rPh>
    <phoneticPr fontId="2"/>
  </si>
  <si>
    <t>自家消費分</t>
    <rPh sb="0" eb="5">
      <t>ジカショウヒブン</t>
    </rPh>
    <phoneticPr fontId="2"/>
  </si>
  <si>
    <t>期末米在庫</t>
    <rPh sb="0" eb="5">
      <t>キマツコメザイコ</t>
    </rPh>
    <phoneticPr fontId="2"/>
  </si>
  <si>
    <t>期首在庫価格</t>
    <rPh sb="0" eb="6">
      <t>キシュザイコカカク</t>
    </rPh>
    <phoneticPr fontId="2"/>
  </si>
  <si>
    <t>期末在庫価格</t>
    <rPh sb="0" eb="6">
      <t>キマツザイコカカク</t>
    </rPh>
    <phoneticPr fontId="2"/>
  </si>
  <si>
    <t>自家消費分単価</t>
    <rPh sb="0" eb="5">
      <t>ジカショウヒブン</t>
    </rPh>
    <rPh sb="5" eb="7">
      <t>タンカ</t>
    </rPh>
    <phoneticPr fontId="2"/>
  </si>
  <si>
    <t>ウイングモア</t>
    <phoneticPr fontId="2"/>
  </si>
  <si>
    <t>R7.1</t>
    <phoneticPr fontId="2"/>
  </si>
  <si>
    <t>定額法</t>
    <rPh sb="0" eb="3">
      <t>テイガクホウ</t>
    </rPh>
    <phoneticPr fontId="2"/>
  </si>
  <si>
    <t>７年</t>
    <rPh sb="1" eb="2">
      <t>ネン</t>
    </rPh>
    <phoneticPr fontId="2"/>
  </si>
  <si>
    <t>R8.10</t>
    <phoneticPr fontId="2"/>
  </si>
  <si>
    <t>作付面積・田</t>
    <rPh sb="0" eb="4">
      <t>サクツケメンセキ</t>
    </rPh>
    <rPh sb="5" eb="6">
      <t>タ</t>
    </rPh>
    <phoneticPr fontId="2"/>
  </si>
  <si>
    <t>作付面積・野菜</t>
    <rPh sb="0" eb="4">
      <t>サクツケメンセキ</t>
    </rPh>
    <rPh sb="5" eb="7">
      <t>ヤサイ</t>
    </rPh>
    <phoneticPr fontId="2"/>
  </si>
  <si>
    <t>a</t>
    <phoneticPr fontId="2"/>
  </si>
  <si>
    <t>code</t>
    <phoneticPr fontId="2"/>
  </si>
  <si>
    <t>米24kg 精米代 野菜</t>
  </si>
  <si>
    <t>米24kg 精米代 野菜 送料</t>
  </si>
  <si>
    <t>野菜 送料</t>
  </si>
  <si>
    <t>米24 精米代 野菜 送料</t>
  </si>
  <si>
    <t>米24 精米代 送料</t>
  </si>
  <si>
    <t>米24 精米代 野菜</t>
  </si>
  <si>
    <t>米24 送料</t>
  </si>
  <si>
    <t>送料</t>
    <rPh sb="0" eb="2">
      <t>ソウリョウ</t>
    </rPh>
    <phoneticPr fontId="2"/>
  </si>
  <si>
    <t>au</t>
  </si>
  <si>
    <t>通信費</t>
  </si>
  <si>
    <t>au電話料金（１月）</t>
  </si>
  <si>
    <t>au電話料金（２月）</t>
  </si>
  <si>
    <t>au電話料金（３月）</t>
  </si>
  <si>
    <t>au電話料金（４月）</t>
  </si>
  <si>
    <t>au電話料金（５月）</t>
  </si>
  <si>
    <t>au電話料金（６月）</t>
  </si>
  <si>
    <t>au電話料金（７月）</t>
  </si>
  <si>
    <t>au電話料金（８月）</t>
  </si>
  <si>
    <t>農業倉庫の電気代</t>
    <rPh sb="0" eb="4">
      <t>ノウギョウソウコ</t>
    </rPh>
    <rPh sb="5" eb="8">
      <t>デンキダイ</t>
    </rPh>
    <phoneticPr fontId="2"/>
  </si>
  <si>
    <t>家の電気代</t>
    <rPh sb="0" eb="1">
      <t>イエ</t>
    </rPh>
    <rPh sb="2" eb="5">
      <t>デンキダイ</t>
    </rPh>
    <phoneticPr fontId="2"/>
  </si>
  <si>
    <t>水道代</t>
    <rPh sb="0" eb="3">
      <t>スイドウダイ</t>
    </rPh>
    <phoneticPr fontId="2"/>
  </si>
  <si>
    <t>携帯電話代</t>
    <rPh sb="0" eb="5">
      <t>ケイタイデンワダイ</t>
    </rPh>
    <phoneticPr fontId="2"/>
  </si>
  <si>
    <t>家の通信代</t>
    <rPh sb="0" eb="1">
      <t>イエ</t>
    </rPh>
    <rPh sb="2" eb="5">
      <t>ツウシンダイ</t>
    </rPh>
    <phoneticPr fontId="2"/>
  </si>
  <si>
    <t>農業按分</t>
    <rPh sb="0" eb="2">
      <t>ノウギョウ</t>
    </rPh>
    <rPh sb="2" eb="4">
      <t>アンブン</t>
    </rPh>
    <phoneticPr fontId="2"/>
  </si>
  <si>
    <t>米24</t>
  </si>
  <si>
    <t>米24 精米代</t>
  </si>
  <si>
    <t>米12kg 精米代</t>
  </si>
  <si>
    <t>米24kg</t>
  </si>
  <si>
    <t>米12kg</t>
  </si>
  <si>
    <t>米24kg 精米代</t>
  </si>
  <si>
    <t>米</t>
    <rPh sb="0" eb="1">
      <t>コメ</t>
    </rPh>
    <phoneticPr fontId="2"/>
  </si>
  <si>
    <t>米24ｋｇ 精米代</t>
  </si>
  <si>
    <t>"C:\Users\81909\Desktop\確定申告関係\2026\売上伝票"</t>
    <phoneticPr fontId="2"/>
  </si>
  <si>
    <t>"C:\Users\81909\Desktop\確定申告関係\2026\売上伝票"</t>
    <phoneticPr fontId="2"/>
  </si>
  <si>
    <t>24kg</t>
    <phoneticPr fontId="2"/>
  </si>
  <si>
    <t>米24 精米代 送料関東　160S</t>
  </si>
  <si>
    <t>米24 精米代 送料関西１６０サイズ</t>
  </si>
  <si>
    <t>米24 精米代 送料四国１６０サイズ</t>
  </si>
  <si>
    <t>代表者名</t>
    <rPh sb="0" eb="3">
      <t>ダイヒョウシャ</t>
    </rPh>
    <rPh sb="3" eb="4">
      <t>メイ</t>
    </rPh>
    <phoneticPr fontId="2"/>
  </si>
  <si>
    <t xml:space="preserve"> 〒住所</t>
    <rPh sb="2" eb="4">
      <t>ジュウショ</t>
    </rPh>
    <phoneticPr fontId="2"/>
  </si>
  <si>
    <t xml:space="preserve">   TEL 電話番号</t>
    <rPh sb="7" eb="9">
      <t>デンワ</t>
    </rPh>
    <rPh sb="9" eb="11">
      <t>バンゴウ</t>
    </rPh>
    <phoneticPr fontId="2"/>
  </si>
  <si>
    <t>高橋</t>
    <rPh sb="0" eb="2">
      <t>タカハシ</t>
    </rPh>
    <phoneticPr fontId="2"/>
  </si>
  <si>
    <t>伊藤</t>
    <rPh sb="0" eb="2">
      <t>イトウ</t>
    </rPh>
    <phoneticPr fontId="2"/>
  </si>
  <si>
    <t>ワタナベ</t>
    <phoneticPr fontId="2"/>
  </si>
  <si>
    <t>サトウ</t>
    <phoneticPr fontId="2"/>
  </si>
  <si>
    <t>スズキ</t>
    <phoneticPr fontId="2"/>
  </si>
  <si>
    <t>タカハシ</t>
    <phoneticPr fontId="2"/>
  </si>
  <si>
    <t>タナカ</t>
    <phoneticPr fontId="2"/>
  </si>
  <si>
    <t>イトウ</t>
    <phoneticPr fontId="2"/>
  </si>
  <si>
    <t>東京電力</t>
    <rPh sb="0" eb="2">
      <t>トウキョウ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</si>
</sst>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quot;¥&quot;\-#,##0"/>
    <numFmt numFmtId="176" formatCode="ggge&quot;年&quot;m&quot;月&quot;d&quot;日&quot;"/>
    <numFmt numFmtId="177" formatCode="yyyy/mm/dd"/>
    <numFmt numFmtId="178" formatCode="#,##0.0&quot;kg&quot;;[Red]\-#,##0.0&quot;kg&quot;"/>
    <numFmt numFmtId="179" formatCode="#,##0&quot;％対象分&quot;;[Red]\-#,##0&quot;％対象分&quot;"/>
    <numFmt numFmtId="180" formatCode="#,##0_ "/>
  </numFmts>
  <fonts count="25" x14ac:knownFonts="1">
    <font>
      <sz val="12"/>
      <name val="ＭＳ Ｐゴシック"/>
      <charset val="128"/>
    </font>
    <font>
      <sz val="10"/>
      <name val="ＭＳ Ｐゴシック"/>
      <family val="3"/>
      <charset val="128"/>
    </font>
    <font>
      <sz val="6"/>
      <name val="ＭＳ Ｐゴシック"/>
      <family val="3"/>
      <charset val="128"/>
    </font>
    <font>
      <sz val="16"/>
      <name val="ＭＳ Ｐゴシック"/>
      <family val="3"/>
      <charset val="128"/>
    </font>
    <font>
      <sz val="10"/>
      <color indexed="8"/>
      <name val="ＭＳ Ｐゴシック"/>
      <family val="3"/>
      <charset val="128"/>
    </font>
    <font>
      <sz val="12"/>
      <color indexed="8"/>
      <name val="ＭＳ Ｐゴシック"/>
      <family val="3"/>
      <charset val="128"/>
    </font>
    <font>
      <sz val="18"/>
      <color indexed="8"/>
      <name val="ＭＳ Ｐゴシック"/>
      <family val="3"/>
      <charset val="128"/>
    </font>
    <font>
      <sz val="14"/>
      <color indexed="8"/>
      <name val="ＭＳ Ｐゴシック"/>
      <family val="3"/>
      <charset val="128"/>
    </font>
    <font>
      <u/>
      <sz val="12"/>
      <color indexed="8"/>
      <name val="ＭＳ Ｐゴシック"/>
      <family val="3"/>
      <charset val="128"/>
    </font>
    <font>
      <u/>
      <sz val="13"/>
      <color indexed="8"/>
      <name val="ＭＳ Ｐゴシック"/>
      <family val="3"/>
      <charset val="128"/>
    </font>
    <font>
      <sz val="8"/>
      <color indexed="8"/>
      <name val="ＭＳ Ｐゴシック"/>
      <family val="3"/>
      <charset val="128"/>
    </font>
    <font>
      <sz val="16"/>
      <color indexed="8"/>
      <name val="ＭＳ Ｐゴシック"/>
      <family val="3"/>
      <charset val="128"/>
    </font>
    <font>
      <sz val="6"/>
      <color indexed="8"/>
      <name val="ＭＳ Ｐゴシック"/>
      <family val="3"/>
      <charset val="128"/>
    </font>
    <font>
      <sz val="11"/>
      <color indexed="8"/>
      <name val="ＭＳ Ｐゴシック"/>
      <family val="3"/>
      <charset val="128"/>
    </font>
    <font>
      <sz val="13"/>
      <color indexed="8"/>
      <name val="ＭＳ Ｐゴシック"/>
      <family val="3"/>
      <charset val="128"/>
    </font>
    <font>
      <sz val="24"/>
      <color indexed="8"/>
      <name val="ＭＳ Ｐゴシック"/>
      <family val="3"/>
      <charset val="128"/>
    </font>
    <font>
      <sz val="12"/>
      <color indexed="10"/>
      <name val="ＭＳ Ｐゴシック"/>
      <family val="3"/>
      <charset val="128"/>
    </font>
    <font>
      <u/>
      <sz val="12"/>
      <color theme="0"/>
      <name val="ＭＳ Ｐゴシック"/>
      <family val="3"/>
      <charset val="128"/>
    </font>
    <font>
      <sz val="24"/>
      <name val="ＭＳ Ｐゴシック"/>
      <family val="3"/>
      <charset val="128"/>
    </font>
    <font>
      <sz val="36"/>
      <name val="ＭＳ Ｐゴシック"/>
      <family val="3"/>
      <charset val="128"/>
    </font>
    <font>
      <sz val="13"/>
      <name val="ＭＳ Ｐゴシック"/>
      <family val="3"/>
      <charset val="128"/>
    </font>
    <font>
      <sz val="12"/>
      <color rgb="FF000000"/>
      <name val="ＭＳ Ｐゴシック"/>
      <family val="3"/>
      <charset val="128"/>
    </font>
    <font>
      <sz val="12"/>
      <name val="ＭＳ Ｐゴシック"/>
      <family val="3"/>
      <charset val="128"/>
    </font>
    <font>
      <sz val="8"/>
      <color rgb="FF000000"/>
      <name val="ＭＳ Ｐゴシック"/>
      <family val="3"/>
      <charset val="128"/>
    </font>
    <font>
      <sz val="9"/>
      <color indexed="8"/>
      <name val="ＭＳ Ｐゴシック"/>
      <family val="3"/>
      <charset val="128"/>
    </font>
  </fonts>
  <fills count="3">
    <fill>
      <patternFill patternType="none"/>
    </fill>
    <fill>
      <patternFill patternType="gray125"/>
    </fill>
    <fill>
      <patternFill patternType="solid">
        <fgColor indexed="13"/>
        <bgColor indexed="34"/>
      </patternFill>
    </fill>
  </fills>
  <borders count="29">
    <border>
      <left/>
      <right/>
      <top/>
      <bottom/>
      <diagonal/>
    </border>
    <border>
      <left/>
      <right/>
      <top/>
      <bottom style="hair">
        <color indexed="8"/>
      </bottom>
      <diagonal/>
    </border>
    <border>
      <left/>
      <right style="thin">
        <color indexed="8"/>
      </right>
      <top style="medium">
        <color indexed="8"/>
      </top>
      <bottom style="double">
        <color indexed="8"/>
      </bottom>
      <diagonal/>
    </border>
    <border>
      <left/>
      <right/>
      <top style="medium">
        <color indexed="8"/>
      </top>
      <bottom style="double">
        <color indexed="8"/>
      </bottom>
      <diagonal/>
    </border>
    <border>
      <left style="thin">
        <color indexed="8"/>
      </left>
      <right/>
      <top style="medium">
        <color indexed="8"/>
      </top>
      <bottom style="double">
        <color indexed="8"/>
      </bottom>
      <diagonal/>
    </border>
    <border>
      <left/>
      <right style="thin">
        <color indexed="8"/>
      </right>
      <top/>
      <bottom/>
      <diagonal/>
    </border>
    <border>
      <left style="thin">
        <color indexed="8"/>
      </left>
      <right/>
      <top/>
      <bottom/>
      <diagonal/>
    </border>
    <border>
      <left/>
      <right style="thin">
        <color indexed="8"/>
      </right>
      <top/>
      <bottom style="hair">
        <color indexed="8"/>
      </bottom>
      <diagonal/>
    </border>
    <border>
      <left style="thin">
        <color indexed="8"/>
      </left>
      <right/>
      <top/>
      <bottom style="hair">
        <color indexed="8"/>
      </bottom>
      <diagonal/>
    </border>
    <border>
      <left style="thin">
        <color indexed="8"/>
      </left>
      <right/>
      <top/>
      <bottom style="medium">
        <color indexed="8"/>
      </bottom>
      <diagonal/>
    </border>
    <border>
      <left/>
      <right style="thin">
        <color indexed="8"/>
      </right>
      <top style="medium">
        <color indexed="8"/>
      </top>
      <bottom style="medium">
        <color indexed="8"/>
      </bottom>
      <diagonal/>
    </border>
    <border>
      <left/>
      <right/>
      <top style="medium">
        <color indexed="8"/>
      </top>
      <bottom style="medium">
        <color indexed="8"/>
      </bottom>
      <diagonal/>
    </border>
    <border>
      <left style="thin">
        <color indexed="8"/>
      </left>
      <right/>
      <top style="medium">
        <color indexed="8"/>
      </top>
      <bottom style="medium">
        <color indexed="8"/>
      </bottom>
      <diagonal/>
    </border>
    <border>
      <left style="medium">
        <color indexed="8"/>
      </left>
      <right/>
      <top/>
      <bottom style="medium">
        <color indexed="8"/>
      </bottom>
      <diagonal/>
    </border>
    <border>
      <left/>
      <right/>
      <top style="hair">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8"/>
      </right>
      <top style="hair">
        <color indexed="8"/>
      </top>
      <bottom/>
      <diagonal/>
    </border>
    <border>
      <left style="thin">
        <color indexed="8"/>
      </left>
      <right/>
      <top style="hair">
        <color indexed="8"/>
      </top>
      <bottom/>
      <diagonal/>
    </border>
    <border>
      <left/>
      <right/>
      <top/>
      <bottom style="hair">
        <color auto="1"/>
      </bottom>
      <diagonal/>
    </border>
    <border>
      <left/>
      <right style="thin">
        <color indexed="8"/>
      </right>
      <top/>
      <bottom style="hair">
        <color auto="1"/>
      </bottom>
      <diagonal/>
    </border>
    <border>
      <left style="thin">
        <color indexed="8"/>
      </left>
      <right/>
      <top/>
      <bottom style="hair">
        <color auto="1"/>
      </bottom>
      <diagonal/>
    </border>
    <border>
      <left style="thin">
        <color auto="1"/>
      </left>
      <right style="thin">
        <color auto="1"/>
      </right>
      <top/>
      <bottom/>
      <diagonal/>
    </border>
  </borders>
  <cellStyleXfs count="1">
    <xf numFmtId="0" fontId="0" fillId="0" borderId="0"/>
  </cellStyleXfs>
  <cellXfs count="134">
    <xf numFmtId="0" fontId="0" fillId="0" borderId="0" xfId="0"/>
    <xf numFmtId="38" fontId="1" fillId="0" borderId="0" xfId="0" applyNumberFormat="1" applyFont="1"/>
    <xf numFmtId="38" fontId="2" fillId="0" borderId="0" xfId="0" applyNumberFormat="1" applyFont="1"/>
    <xf numFmtId="38" fontId="3" fillId="0" borderId="0" xfId="0" applyNumberFormat="1" applyFont="1"/>
    <xf numFmtId="38" fontId="0" fillId="0" borderId="0" xfId="0" applyNumberFormat="1" applyProtection="1">
      <protection locked="0"/>
    </xf>
    <xf numFmtId="38" fontId="0" fillId="0" borderId="0" xfId="0" applyNumberFormat="1"/>
    <xf numFmtId="38" fontId="4" fillId="0" borderId="0" xfId="0" applyNumberFormat="1" applyFont="1" applyProtection="1">
      <protection locked="0"/>
    </xf>
    <xf numFmtId="38" fontId="5" fillId="0" borderId="0" xfId="0" applyNumberFormat="1" applyFont="1" applyProtection="1">
      <protection locked="0"/>
    </xf>
    <xf numFmtId="38" fontId="6" fillId="0" borderId="0" xfId="0" applyNumberFormat="1" applyFont="1" applyAlignment="1" applyProtection="1">
      <alignment horizontal="right"/>
      <protection locked="0"/>
    </xf>
    <xf numFmtId="38" fontId="7" fillId="0" borderId="0" xfId="0" applyNumberFormat="1" applyFont="1" applyProtection="1">
      <protection locked="0"/>
    </xf>
    <xf numFmtId="38" fontId="8" fillId="0" borderId="0" xfId="0" applyNumberFormat="1" applyFont="1" applyAlignment="1" applyProtection="1">
      <alignment horizontal="right"/>
      <protection locked="0"/>
    </xf>
    <xf numFmtId="0" fontId="9" fillId="0" borderId="0" xfId="0" applyFont="1" applyAlignment="1" applyProtection="1">
      <alignment horizontal="left"/>
      <protection locked="0"/>
    </xf>
    <xf numFmtId="38" fontId="10" fillId="0" borderId="1" xfId="0" applyNumberFormat="1" applyFont="1" applyBorder="1" applyAlignment="1" applyProtection="1">
      <alignment horizontal="right"/>
      <protection locked="0"/>
    </xf>
    <xf numFmtId="38" fontId="5" fillId="0" borderId="1" xfId="0" applyNumberFormat="1" applyFont="1" applyBorder="1" applyProtection="1">
      <protection locked="0"/>
    </xf>
    <xf numFmtId="38" fontId="10" fillId="0" borderId="1" xfId="0" applyNumberFormat="1" applyFont="1" applyBorder="1" applyProtection="1">
      <protection locked="0"/>
    </xf>
    <xf numFmtId="38" fontId="6" fillId="0" borderId="0" xfId="0" applyNumberFormat="1" applyFont="1" applyProtection="1">
      <protection locked="0"/>
    </xf>
    <xf numFmtId="38" fontId="12" fillId="0" borderId="0" xfId="0" applyNumberFormat="1" applyFont="1" applyProtection="1">
      <protection locked="0"/>
    </xf>
    <xf numFmtId="38" fontId="5" fillId="0" borderId="2" xfId="0" applyNumberFormat="1" applyFont="1" applyBorder="1" applyAlignment="1" applyProtection="1">
      <alignment horizontal="center" vertical="center"/>
      <protection locked="0"/>
    </xf>
    <xf numFmtId="38" fontId="5" fillId="0" borderId="3" xfId="0" applyNumberFormat="1" applyFont="1" applyBorder="1" applyAlignment="1" applyProtection="1">
      <alignment vertical="center"/>
      <protection locked="0"/>
    </xf>
    <xf numFmtId="38" fontId="5" fillId="0" borderId="4" xfId="0" applyNumberFormat="1" applyFont="1" applyBorder="1" applyAlignment="1" applyProtection="1">
      <alignment horizontal="center" vertical="center"/>
      <protection locked="0"/>
    </xf>
    <xf numFmtId="38" fontId="10" fillId="0" borderId="0" xfId="0" applyNumberFormat="1" applyFont="1" applyAlignment="1" applyProtection="1">
      <alignment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38" fontId="5" fillId="0" borderId="6" xfId="0" applyNumberFormat="1" applyFont="1" applyBorder="1" applyAlignment="1" applyProtection="1">
      <alignment vertical="center"/>
      <protection locked="0"/>
    </xf>
    <xf numFmtId="38" fontId="10" fillId="0" borderId="1" xfId="0" applyNumberFormat="1" applyFont="1" applyBorder="1" applyAlignment="1" applyProtection="1">
      <alignment vertical="center"/>
      <protection locked="0"/>
    </xf>
    <xf numFmtId="0" fontId="5" fillId="0" borderId="1" xfId="0" applyFont="1" applyBorder="1" applyAlignment="1" applyProtection="1">
      <alignment horizontal="left" vertical="center"/>
      <protection locked="0"/>
    </xf>
    <xf numFmtId="0" fontId="5" fillId="0" borderId="1" xfId="0" applyFont="1" applyBorder="1" applyAlignment="1" applyProtection="1">
      <alignment vertical="center"/>
      <protection locked="0"/>
    </xf>
    <xf numFmtId="0" fontId="5" fillId="0" borderId="8" xfId="0" applyFont="1" applyBorder="1" applyAlignment="1" applyProtection="1">
      <alignment vertical="center"/>
      <protection locked="0"/>
    </xf>
    <xf numFmtId="37" fontId="5" fillId="0" borderId="8" xfId="0" applyNumberFormat="1" applyFont="1" applyBorder="1" applyAlignment="1" applyProtection="1">
      <alignment vertical="center"/>
      <protection locked="0"/>
    </xf>
    <xf numFmtId="38" fontId="5" fillId="0" borderId="8" xfId="0" applyNumberFormat="1" applyFont="1" applyBorder="1" applyAlignment="1" applyProtection="1">
      <alignment vertical="center"/>
      <protection locked="0"/>
    </xf>
    <xf numFmtId="38" fontId="5" fillId="0" borderId="0" xfId="0" applyNumberFormat="1" applyFont="1" applyAlignment="1" applyProtection="1">
      <alignment horizontal="left" vertical="center"/>
      <protection locked="0"/>
    </xf>
    <xf numFmtId="38" fontId="13" fillId="0" borderId="0" xfId="0" applyNumberFormat="1" applyFont="1" applyAlignment="1" applyProtection="1">
      <alignment horizontal="left" vertical="center"/>
      <protection locked="0"/>
    </xf>
    <xf numFmtId="38" fontId="5" fillId="0" borderId="0" xfId="0" applyNumberFormat="1" applyFont="1" applyAlignment="1" applyProtection="1">
      <alignment vertical="center"/>
      <protection locked="0"/>
    </xf>
    <xf numFmtId="38" fontId="5" fillId="0" borderId="9" xfId="0" applyNumberFormat="1" applyFont="1" applyBorder="1" applyAlignment="1" applyProtection="1">
      <alignment vertical="center"/>
      <protection locked="0"/>
    </xf>
    <xf numFmtId="38" fontId="14" fillId="0" borderId="10" xfId="0" applyNumberFormat="1" applyFont="1" applyBorder="1" applyAlignment="1" applyProtection="1">
      <alignment vertical="center"/>
      <protection locked="0"/>
    </xf>
    <xf numFmtId="38" fontId="5" fillId="0" borderId="11" xfId="0" applyNumberFormat="1" applyFont="1" applyBorder="1" applyAlignment="1" applyProtection="1">
      <alignment vertical="center"/>
      <protection locked="0"/>
    </xf>
    <xf numFmtId="38" fontId="5" fillId="0" borderId="12" xfId="0" applyNumberFormat="1" applyFont="1" applyBorder="1" applyAlignment="1" applyProtection="1">
      <alignment vertical="center"/>
      <protection locked="0"/>
    </xf>
    <xf numFmtId="38" fontId="5" fillId="0" borderId="12" xfId="0" applyNumberFormat="1" applyFont="1" applyBorder="1" applyAlignment="1" applyProtection="1">
      <alignment horizontal="right" vertical="center"/>
      <protection locked="0"/>
    </xf>
    <xf numFmtId="38" fontId="7" fillId="0" borderId="12" xfId="0" applyNumberFormat="1" applyFont="1" applyBorder="1" applyAlignment="1" applyProtection="1">
      <alignment vertical="center"/>
      <protection locked="0"/>
    </xf>
    <xf numFmtId="38" fontId="5" fillId="0" borderId="13" xfId="0" applyNumberFormat="1" applyFont="1" applyBorder="1" applyAlignment="1" applyProtection="1">
      <alignment vertical="center"/>
      <protection locked="0"/>
    </xf>
    <xf numFmtId="38" fontId="5" fillId="0" borderId="9" xfId="0" applyNumberFormat="1" applyFont="1" applyBorder="1" applyAlignment="1" applyProtection="1">
      <alignment horizontal="center" vertical="center"/>
      <protection locked="0"/>
    </xf>
    <xf numFmtId="0" fontId="11" fillId="0" borderId="0" xfId="0" applyFont="1" applyProtection="1">
      <protection locked="0"/>
    </xf>
    <xf numFmtId="0" fontId="15" fillId="0" borderId="14" xfId="0" applyFont="1" applyBorder="1" applyProtection="1">
      <protection locked="0"/>
    </xf>
    <xf numFmtId="38" fontId="5" fillId="0" borderId="14" xfId="0" applyNumberFormat="1" applyFont="1" applyBorder="1" applyProtection="1">
      <protection locked="0"/>
    </xf>
    <xf numFmtId="38" fontId="6" fillId="0" borderId="14" xfId="0" applyNumberFormat="1" applyFont="1" applyBorder="1" applyProtection="1">
      <protection locked="0"/>
    </xf>
    <xf numFmtId="38" fontId="6" fillId="0" borderId="14" xfId="0" applyNumberFormat="1" applyFont="1" applyBorder="1" applyAlignment="1" applyProtection="1">
      <alignment horizontal="center"/>
      <protection locked="0"/>
    </xf>
    <xf numFmtId="38" fontId="11" fillId="0" borderId="1" xfId="0" applyNumberFormat="1" applyFont="1" applyBorder="1" applyProtection="1">
      <protection locked="0"/>
    </xf>
    <xf numFmtId="38" fontId="7" fillId="0" borderId="1" xfId="0" applyNumberFormat="1" applyFont="1" applyBorder="1" applyProtection="1">
      <protection locked="0"/>
    </xf>
    <xf numFmtId="38" fontId="5" fillId="0" borderId="6" xfId="0" applyNumberFormat="1" applyFont="1" applyBorder="1" applyAlignment="1" applyProtection="1">
      <alignment horizontal="right" vertical="center"/>
      <protection locked="0"/>
    </xf>
    <xf numFmtId="38" fontId="5" fillId="0" borderId="1" xfId="0" applyNumberFormat="1" applyFont="1" applyBorder="1" applyAlignment="1" applyProtection="1">
      <alignment horizontal="left" vertical="center"/>
      <protection locked="0"/>
    </xf>
    <xf numFmtId="38" fontId="5" fillId="0" borderId="1" xfId="0" applyNumberFormat="1" applyFont="1" applyBorder="1" applyAlignment="1" applyProtection="1">
      <alignment vertical="center"/>
      <protection locked="0"/>
    </xf>
    <xf numFmtId="38" fontId="5" fillId="0" borderId="8" xfId="0" applyNumberFormat="1" applyFont="1" applyBorder="1" applyAlignment="1" applyProtection="1">
      <alignment horizontal="right" vertical="center"/>
      <protection locked="0"/>
    </xf>
    <xf numFmtId="0" fontId="16" fillId="0" borderId="0" xfId="0" applyFont="1" applyProtection="1">
      <protection locked="0"/>
    </xf>
    <xf numFmtId="0" fontId="5" fillId="0" borderId="0" xfId="0" applyFont="1" applyProtection="1">
      <protection locked="0"/>
    </xf>
    <xf numFmtId="38" fontId="17" fillId="0" borderId="0" xfId="0" applyNumberFormat="1" applyFont="1" applyProtection="1">
      <protection locked="0"/>
    </xf>
    <xf numFmtId="38" fontId="2" fillId="0" borderId="0" xfId="0" applyNumberFormat="1" applyFont="1" applyProtection="1">
      <protection locked="0"/>
    </xf>
    <xf numFmtId="0" fontId="18" fillId="0" borderId="0" xfId="0" applyFont="1" applyProtection="1">
      <protection locked="0"/>
    </xf>
    <xf numFmtId="0" fontId="0" fillId="0" borderId="0" xfId="0" applyProtection="1">
      <protection locked="0"/>
    </xf>
    <xf numFmtId="0" fontId="0" fillId="2" borderId="0" xfId="0" applyFill="1" applyProtection="1">
      <protection locked="0"/>
    </xf>
    <xf numFmtId="0" fontId="1" fillId="0" borderId="0" xfId="0" applyFont="1" applyProtection="1">
      <protection locked="0"/>
    </xf>
    <xf numFmtId="38" fontId="1" fillId="0" borderId="0" xfId="0" applyNumberFormat="1" applyFont="1" applyProtection="1">
      <protection locked="0"/>
    </xf>
    <xf numFmtId="0" fontId="2" fillId="0" borderId="0" xfId="0" applyFont="1" applyProtection="1">
      <protection locked="0"/>
    </xf>
    <xf numFmtId="38" fontId="13" fillId="0" borderId="6" xfId="0" applyNumberFormat="1" applyFont="1" applyBorder="1" applyProtection="1">
      <protection locked="0"/>
    </xf>
    <xf numFmtId="38" fontId="7" fillId="0" borderId="9" xfId="0" applyNumberFormat="1" applyFont="1" applyBorder="1" applyAlignment="1" applyProtection="1">
      <alignment vertical="center"/>
      <protection locked="0"/>
    </xf>
    <xf numFmtId="0" fontId="3" fillId="0" borderId="0" xfId="0" applyFont="1" applyProtection="1">
      <protection locked="0"/>
    </xf>
    <xf numFmtId="0" fontId="19" fillId="0" borderId="0" xfId="0" applyFont="1" applyProtection="1">
      <protection locked="0"/>
    </xf>
    <xf numFmtId="38" fontId="20" fillId="0" borderId="0" xfId="0" applyNumberFormat="1" applyFont="1" applyProtection="1">
      <protection locked="0"/>
    </xf>
    <xf numFmtId="0" fontId="1" fillId="0" borderId="0" xfId="0" applyFont="1"/>
    <xf numFmtId="0" fontId="22" fillId="0" borderId="0" xfId="0" applyFont="1" applyProtection="1">
      <protection locked="0"/>
    </xf>
    <xf numFmtId="0" fontId="22" fillId="0" borderId="0" xfId="0" applyFont="1"/>
    <xf numFmtId="0" fontId="22" fillId="0" borderId="16" xfId="0" applyFont="1" applyBorder="1" applyAlignment="1">
      <alignment horizontal="center"/>
    </xf>
    <xf numFmtId="0" fontId="0" fillId="0" borderId="0" xfId="0" applyAlignment="1">
      <alignment horizontal="center"/>
    </xf>
    <xf numFmtId="0" fontId="22" fillId="0" borderId="17" xfId="0" applyFont="1" applyBorder="1" applyAlignment="1">
      <alignment horizontal="center"/>
    </xf>
    <xf numFmtId="0" fontId="22" fillId="0" borderId="15" xfId="0" applyFont="1" applyBorder="1" applyAlignment="1">
      <alignment horizontal="center"/>
    </xf>
    <xf numFmtId="0" fontId="22" fillId="0" borderId="18" xfId="0" applyFont="1" applyBorder="1"/>
    <xf numFmtId="0" fontId="22" fillId="0" borderId="0" xfId="0" applyFont="1" applyAlignment="1">
      <alignment horizontal="center"/>
    </xf>
    <xf numFmtId="0" fontId="0" fillId="0" borderId="19" xfId="0" applyBorder="1" applyAlignment="1">
      <alignment horizontal="center"/>
    </xf>
    <xf numFmtId="0" fontId="22" fillId="0" borderId="20" xfId="0" applyFont="1" applyBorder="1"/>
    <xf numFmtId="0" fontId="22" fillId="0" borderId="21" xfId="0" applyFont="1" applyBorder="1" applyAlignment="1">
      <alignment horizontal="center"/>
    </xf>
    <xf numFmtId="0" fontId="0" fillId="0" borderId="22" xfId="0" applyBorder="1" applyAlignment="1">
      <alignment horizontal="center"/>
    </xf>
    <xf numFmtId="5" fontId="22" fillId="0" borderId="16" xfId="0" applyNumberFormat="1" applyFont="1" applyBorder="1" applyAlignment="1">
      <alignment horizontal="right"/>
    </xf>
    <xf numFmtId="5" fontId="0" fillId="0" borderId="0" xfId="0" applyNumberFormat="1" applyAlignment="1">
      <alignment horizontal="right"/>
    </xf>
    <xf numFmtId="5" fontId="22" fillId="0" borderId="21" xfId="0" applyNumberFormat="1" applyFont="1" applyBorder="1" applyAlignment="1">
      <alignment horizontal="right"/>
    </xf>
    <xf numFmtId="0" fontId="13" fillId="0" borderId="5" xfId="0" applyFont="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38" fontId="13" fillId="0" borderId="6" xfId="0" applyNumberFormat="1" applyFont="1" applyBorder="1" applyAlignment="1" applyProtection="1">
      <alignment horizontal="center"/>
      <protection locked="0"/>
    </xf>
    <xf numFmtId="38" fontId="13" fillId="0" borderId="6" xfId="0" applyNumberFormat="1" applyFont="1" applyBorder="1" applyAlignment="1" applyProtection="1">
      <alignment horizontal="center" vertical="center"/>
      <protection locked="0"/>
    </xf>
    <xf numFmtId="38" fontId="22" fillId="0" borderId="0" xfId="0" applyNumberFormat="1" applyFont="1" applyProtection="1">
      <protection locked="0"/>
    </xf>
    <xf numFmtId="38" fontId="5" fillId="0" borderId="8" xfId="0" applyNumberFormat="1" applyFont="1" applyBorder="1" applyAlignment="1">
      <alignment vertical="center"/>
    </xf>
    <xf numFmtId="0" fontId="5" fillId="0" borderId="0" xfId="0" applyFont="1" applyAlignment="1">
      <alignment horizontal="left" vertical="center"/>
    </xf>
    <xf numFmtId="38" fontId="7" fillId="0" borderId="1" xfId="0" applyNumberFormat="1" applyFont="1" applyBorder="1"/>
    <xf numFmtId="38" fontId="8" fillId="0" borderId="0" xfId="0" applyNumberFormat="1" applyFont="1" applyAlignment="1" applyProtection="1">
      <alignment horizontal="center"/>
      <protection locked="0"/>
    </xf>
    <xf numFmtId="176" fontId="5" fillId="0" borderId="0" xfId="0" applyNumberFormat="1" applyFont="1" applyAlignment="1" applyProtection="1">
      <alignment horizontal="right"/>
      <protection locked="0"/>
    </xf>
    <xf numFmtId="38" fontId="7" fillId="0" borderId="0" xfId="0" applyNumberFormat="1" applyFont="1" applyAlignment="1" applyProtection="1">
      <alignment vertical="center"/>
      <protection locked="0"/>
    </xf>
    <xf numFmtId="38" fontId="3" fillId="0" borderId="0" xfId="0" applyNumberFormat="1" applyFont="1" applyProtection="1">
      <protection locked="0"/>
    </xf>
    <xf numFmtId="38" fontId="8" fillId="0" borderId="14" xfId="0" applyNumberFormat="1" applyFont="1" applyBorder="1" applyAlignment="1" applyProtection="1">
      <alignment horizontal="right"/>
      <protection locked="0"/>
    </xf>
    <xf numFmtId="0" fontId="9" fillId="0" borderId="14" xfId="0" applyFont="1" applyBorder="1" applyAlignment="1" applyProtection="1">
      <alignment horizontal="left"/>
      <protection locked="0"/>
    </xf>
    <xf numFmtId="38" fontId="8" fillId="0" borderId="14" xfId="0" applyNumberFormat="1" applyFont="1" applyBorder="1" applyAlignment="1" applyProtection="1">
      <alignment horizontal="center"/>
      <protection locked="0"/>
    </xf>
    <xf numFmtId="37" fontId="5" fillId="0" borderId="6" xfId="0" applyNumberFormat="1" applyFont="1" applyBorder="1" applyAlignment="1" applyProtection="1">
      <alignment vertical="center"/>
      <protection locked="0"/>
    </xf>
    <xf numFmtId="0" fontId="13" fillId="0" borderId="23" xfId="0" applyFont="1" applyBorder="1" applyAlignment="1" applyProtection="1">
      <alignment horizontal="center" vertical="center"/>
      <protection locked="0"/>
    </xf>
    <xf numFmtId="38" fontId="10" fillId="0" borderId="14" xfId="0" applyNumberFormat="1" applyFont="1" applyBorder="1" applyAlignment="1" applyProtection="1">
      <alignment vertical="center"/>
      <protection locked="0"/>
    </xf>
    <xf numFmtId="0" fontId="5" fillId="0" borderId="14" xfId="0" applyFont="1" applyBorder="1" applyAlignment="1" applyProtection="1">
      <alignment horizontal="left" vertical="center"/>
      <protection locked="0"/>
    </xf>
    <xf numFmtId="0" fontId="5" fillId="0" borderId="14" xfId="0" applyFont="1" applyBorder="1" applyAlignment="1">
      <alignment horizontal="left" vertical="center"/>
    </xf>
    <xf numFmtId="0" fontId="5" fillId="0" borderId="14" xfId="0" applyFont="1" applyBorder="1" applyAlignment="1" applyProtection="1">
      <alignment vertical="center"/>
      <protection locked="0"/>
    </xf>
    <xf numFmtId="0" fontId="5" fillId="0" borderId="24" xfId="0" applyFont="1" applyBorder="1" applyAlignment="1" applyProtection="1">
      <alignment vertical="center"/>
      <protection locked="0"/>
    </xf>
    <xf numFmtId="37" fontId="5" fillId="0" borderId="24" xfId="0" applyNumberFormat="1" applyFont="1" applyBorder="1" applyAlignment="1" applyProtection="1">
      <alignment vertical="center"/>
      <protection locked="0"/>
    </xf>
    <xf numFmtId="38" fontId="13" fillId="0" borderId="24" xfId="0" applyNumberFormat="1" applyFont="1" applyBorder="1" applyAlignment="1" applyProtection="1">
      <alignment horizontal="center" vertical="center"/>
      <protection locked="0"/>
    </xf>
    <xf numFmtId="0" fontId="13" fillId="0" borderId="26" xfId="0" applyFont="1" applyBorder="1" applyAlignment="1" applyProtection="1">
      <alignment horizontal="center" vertical="center"/>
      <protection locked="0"/>
    </xf>
    <xf numFmtId="38" fontId="10" fillId="0" borderId="25" xfId="0" applyNumberFormat="1" applyFont="1" applyBorder="1" applyAlignment="1" applyProtection="1">
      <alignment vertical="center"/>
      <protection locked="0"/>
    </xf>
    <xf numFmtId="0" fontId="5" fillId="0" borderId="25" xfId="0" applyFont="1" applyBorder="1" applyAlignment="1" applyProtection="1">
      <alignment horizontal="left" vertical="center"/>
      <protection locked="0"/>
    </xf>
    <xf numFmtId="0" fontId="5" fillId="0" borderId="25" xfId="0" applyFont="1" applyBorder="1" applyAlignment="1" applyProtection="1">
      <alignment vertical="center"/>
      <protection locked="0"/>
    </xf>
    <xf numFmtId="0" fontId="5" fillId="0" borderId="27" xfId="0" applyFont="1" applyBorder="1" applyAlignment="1" applyProtection="1">
      <alignment vertical="center"/>
      <protection locked="0"/>
    </xf>
    <xf numFmtId="37" fontId="5" fillId="0" borderId="27" xfId="0" applyNumberFormat="1" applyFont="1" applyBorder="1" applyAlignment="1" applyProtection="1">
      <alignment vertical="center"/>
      <protection locked="0"/>
    </xf>
    <xf numFmtId="38" fontId="5" fillId="0" borderId="27" xfId="0" applyNumberFormat="1" applyFont="1" applyBorder="1" applyAlignment="1" applyProtection="1">
      <alignment vertical="center"/>
      <protection locked="0"/>
    </xf>
    <xf numFmtId="38" fontId="5" fillId="0" borderId="25" xfId="0" applyNumberFormat="1" applyFont="1" applyBorder="1" applyAlignment="1" applyProtection="1">
      <alignment horizontal="left" vertical="center"/>
      <protection locked="0"/>
    </xf>
    <xf numFmtId="38" fontId="5" fillId="0" borderId="25" xfId="0" applyNumberFormat="1" applyFont="1" applyBorder="1" applyAlignment="1" applyProtection="1">
      <alignment vertical="center"/>
      <protection locked="0"/>
    </xf>
    <xf numFmtId="0" fontId="22" fillId="0" borderId="28" xfId="0" applyFont="1" applyBorder="1"/>
    <xf numFmtId="0" fontId="0" fillId="0" borderId="28" xfId="0" applyBorder="1"/>
    <xf numFmtId="177" fontId="0" fillId="0" borderId="28" xfId="0" applyNumberFormat="1" applyBorder="1"/>
    <xf numFmtId="178" fontId="13" fillId="0" borderId="8" xfId="0" applyNumberFormat="1" applyFont="1" applyBorder="1" applyAlignment="1" applyProtection="1">
      <alignment horizontal="center" vertical="center"/>
      <protection locked="0"/>
    </xf>
    <xf numFmtId="178" fontId="13" fillId="0" borderId="27" xfId="0" applyNumberFormat="1" applyFont="1" applyBorder="1" applyAlignment="1" applyProtection="1">
      <alignment horizontal="center"/>
      <protection locked="0"/>
    </xf>
    <xf numFmtId="178" fontId="13" fillId="0" borderId="27" xfId="0" applyNumberFormat="1" applyFont="1" applyBorder="1" applyAlignment="1" applyProtection="1">
      <alignment horizontal="center" vertical="center"/>
      <protection locked="0"/>
    </xf>
    <xf numFmtId="179" fontId="10" fillId="0" borderId="12" xfId="0" applyNumberFormat="1" applyFont="1" applyBorder="1" applyAlignment="1" applyProtection="1">
      <alignment horizontal="right" vertical="center"/>
      <protection locked="0"/>
    </xf>
    <xf numFmtId="38" fontId="4" fillId="0" borderId="13" xfId="0" applyNumberFormat="1" applyFont="1" applyBorder="1" applyAlignment="1" applyProtection="1">
      <alignment vertical="center"/>
      <protection locked="0"/>
    </xf>
    <xf numFmtId="180" fontId="24" fillId="0" borderId="12" xfId="0" applyNumberFormat="1" applyFont="1" applyBorder="1" applyAlignment="1" applyProtection="1">
      <alignment horizontal="right" vertical="center"/>
      <protection locked="0"/>
    </xf>
    <xf numFmtId="9" fontId="22" fillId="0" borderId="0" xfId="0" applyNumberFormat="1" applyFont="1"/>
    <xf numFmtId="0" fontId="22" fillId="0" borderId="28" xfId="0" applyFont="1" applyBorder="1" applyAlignment="1">
      <alignment horizontal="center" vertical="center"/>
    </xf>
    <xf numFmtId="177" fontId="22" fillId="0" borderId="28" xfId="0" applyNumberFormat="1" applyFont="1" applyBorder="1" applyAlignment="1">
      <alignment horizontal="center" vertical="center"/>
    </xf>
    <xf numFmtId="0" fontId="22" fillId="0" borderId="19" xfId="0" applyFont="1" applyBorder="1" applyAlignment="1">
      <alignment horizontal="center"/>
    </xf>
    <xf numFmtId="177" fontId="0" fillId="2" borderId="0" xfId="0" applyNumberFormat="1" applyFill="1" applyProtection="1">
      <protection locked="0"/>
    </xf>
    <xf numFmtId="38" fontId="21" fillId="0" borderId="0" xfId="0" applyNumberFormat="1" applyFont="1" applyAlignment="1" applyProtection="1">
      <alignment horizontal="left"/>
      <protection locked="0"/>
    </xf>
    <xf numFmtId="38" fontId="7" fillId="0" borderId="0" xfId="0" applyNumberFormat="1" applyFont="1" applyAlignment="1" applyProtection="1">
      <alignment horizontal="left"/>
      <protection locked="0"/>
    </xf>
    <xf numFmtId="38" fontId="7" fillId="0" borderId="1" xfId="0" applyNumberFormat="1" applyFont="1" applyBorder="1" applyAlignment="1" applyProtection="1">
      <alignment horizontal="left"/>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5</xdr:row>
          <xdr:rowOff>95250</xdr:rowOff>
        </xdr:from>
        <xdr:to>
          <xdr:col>13</xdr:col>
          <xdr:colOff>66675</xdr:colOff>
          <xdr:row>8</xdr:row>
          <xdr:rowOff>95250</xdr:rowOff>
        </xdr:to>
        <xdr:sp macro="" textlink="">
          <xdr:nvSpPr>
            <xdr:cNvPr id="2051" name="Button 91" descr="PDF印刷"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PDF印刷</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676275</xdr:colOff>
          <xdr:row>0</xdr:row>
          <xdr:rowOff>0</xdr:rowOff>
        </xdr:from>
        <xdr:to>
          <xdr:col>10</xdr:col>
          <xdr:colOff>1438275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並べ替え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0</xdr:rowOff>
        </xdr:from>
        <xdr:to>
          <xdr:col>5</xdr:col>
          <xdr:colOff>1304925</xdr:colOff>
          <xdr:row>1</xdr:row>
          <xdr:rowOff>28575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下部に移動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123825</xdr:colOff>
          <xdr:row>5</xdr:row>
          <xdr:rowOff>142875</xdr:rowOff>
        </xdr:from>
        <xdr:to>
          <xdr:col>13</xdr:col>
          <xdr:colOff>38100</xdr:colOff>
          <xdr:row>8</xdr:row>
          <xdr:rowOff>142875</xdr:rowOff>
        </xdr:to>
        <xdr:sp macro="" textlink="">
          <xdr:nvSpPr>
            <xdr:cNvPr id="3073" name="Button 91" descr="PDF印刷"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PDF印刷</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U147"/>
  <sheetViews>
    <sheetView showZeros="0" showOutlineSymbols="0" zoomScale="115" zoomScaleNormal="115" workbookViewId="0">
      <selection activeCell="M2" sqref="M2"/>
    </sheetView>
  </sheetViews>
  <sheetFormatPr defaultColWidth="10.75" defaultRowHeight="14.25" x14ac:dyDescent="0.15"/>
  <cols>
    <col min="1" max="1" width="6.125" style="4" customWidth="1"/>
    <col min="2" max="2" width="3.625" style="4" customWidth="1"/>
    <col min="3" max="3" width="2.625" style="4" customWidth="1"/>
    <col min="4" max="5" width="11.625" style="4" customWidth="1"/>
    <col min="6" max="6" width="6.625" style="4" customWidth="1"/>
    <col min="7" max="7" width="9.5" style="4" customWidth="1"/>
    <col min="8" max="8" width="11.625" style="4" customWidth="1"/>
    <col min="9" max="9" width="23.875" style="4" customWidth="1"/>
    <col min="10" max="10" width="5.625" style="4" customWidth="1"/>
    <col min="11" max="12" width="2.625" style="4" customWidth="1"/>
    <col min="13" max="13" width="13.125" style="4" customWidth="1"/>
    <col min="14" max="14" width="6.125" style="88" customWidth="1"/>
    <col min="15" max="15" width="22" style="88" hidden="1" customWidth="1"/>
    <col min="16" max="16" width="15.5" style="88" customWidth="1"/>
    <col min="17" max="17" width="7" style="61" customWidth="1"/>
    <col min="18" max="18" width="2.75" style="4" customWidth="1"/>
    <col min="19" max="19" width="5.625" style="4" customWidth="1"/>
    <col min="20" max="20" width="10.625" style="61" customWidth="1"/>
    <col min="21" max="21" width="10.625" style="4" customWidth="1"/>
    <col min="22" max="255" width="10.625" style="5" customWidth="1"/>
  </cols>
  <sheetData>
    <row r="1" spans="1:21" s="1" customFormat="1" ht="28.5" x14ac:dyDescent="0.3">
      <c r="A1" s="6"/>
      <c r="B1" s="7"/>
      <c r="C1" s="7"/>
      <c r="D1" s="8" t="s">
        <v>2</v>
      </c>
      <c r="E1" s="9" t="s">
        <v>3</v>
      </c>
      <c r="F1" s="7"/>
      <c r="G1" s="10" t="s">
        <v>4</v>
      </c>
      <c r="H1" s="11">
        <v>26092302</v>
      </c>
      <c r="I1" s="92"/>
      <c r="J1" s="57" t="s">
        <v>1</v>
      </c>
      <c r="K1" s="58"/>
      <c r="L1" s="58"/>
      <c r="M1" s="69"/>
      <c r="N1" s="53" t="s">
        <v>20</v>
      </c>
      <c r="O1" s="69"/>
      <c r="P1" s="69"/>
      <c r="Q1" s="60"/>
      <c r="R1" s="61"/>
      <c r="S1" s="61"/>
      <c r="T1" s="61"/>
      <c r="U1" s="61"/>
    </row>
    <row r="2" spans="1:21" s="1" customFormat="1" x14ac:dyDescent="0.15">
      <c r="A2" s="12" t="s">
        <v>6</v>
      </c>
      <c r="B2" s="13">
        <v>1</v>
      </c>
      <c r="C2" s="14"/>
      <c r="D2" s="14"/>
      <c r="E2" s="7"/>
      <c r="F2" s="7"/>
      <c r="G2" s="7"/>
      <c r="H2" s="7"/>
      <c r="I2" s="93">
        <f ca="1">+IF(OR(M2="当日",M2=0),TODAY(),M2)</f>
        <v>46288</v>
      </c>
      <c r="J2" s="58"/>
      <c r="K2" s="58"/>
      <c r="L2" s="58"/>
      <c r="M2" s="130">
        <v>46288</v>
      </c>
      <c r="N2" s="53" t="s">
        <v>0</v>
      </c>
      <c r="O2" s="69"/>
      <c r="P2" s="69"/>
      <c r="Q2" s="60"/>
      <c r="R2" s="61"/>
      <c r="S2" s="61"/>
      <c r="T2" s="61"/>
      <c r="U2" s="61"/>
    </row>
    <row r="3" spans="1:21" s="1" customFormat="1" ht="21" x14ac:dyDescent="0.2">
      <c r="A3" s="47">
        <f>VLOOKUP(B2,N4:P280,2)</f>
        <v>0</v>
      </c>
      <c r="B3" s="13"/>
      <c r="C3" s="13"/>
      <c r="D3" s="13"/>
      <c r="E3" s="13"/>
      <c r="F3" s="15" t="s">
        <v>1</v>
      </c>
      <c r="G3" s="9"/>
      <c r="H3" s="7"/>
      <c r="I3" s="7"/>
      <c r="J3" s="58"/>
      <c r="K3" s="58"/>
      <c r="L3" s="58"/>
      <c r="M3" s="59"/>
      <c r="N3" s="53" t="s">
        <v>22</v>
      </c>
      <c r="O3" s="69"/>
      <c r="P3" s="69"/>
      <c r="Q3" s="60"/>
      <c r="R3" s="61"/>
      <c r="S3" s="61"/>
      <c r="T3" s="61"/>
      <c r="U3" s="61"/>
    </row>
    <row r="4" spans="1:21" s="1" customFormat="1" x14ac:dyDescent="0.15">
      <c r="A4" s="7"/>
      <c r="B4" s="7"/>
      <c r="C4" s="7"/>
      <c r="D4" s="7"/>
      <c r="E4" s="7"/>
      <c r="F4" s="7"/>
      <c r="G4" s="7" t="s">
        <v>238</v>
      </c>
      <c r="H4" s="7"/>
      <c r="I4" s="7"/>
      <c r="J4" s="58"/>
      <c r="K4" s="58"/>
      <c r="L4" s="58"/>
      <c r="M4" s="58"/>
      <c r="N4" s="69" t="s">
        <v>23</v>
      </c>
      <c r="O4" s="69" t="s">
        <v>37</v>
      </c>
      <c r="P4" s="69" t="s">
        <v>72</v>
      </c>
      <c r="Q4" s="60"/>
      <c r="R4" s="61"/>
      <c r="S4" s="61" t="s">
        <v>198</v>
      </c>
      <c r="T4" s="61" t="s">
        <v>26</v>
      </c>
      <c r="U4" s="61"/>
    </row>
    <row r="5" spans="1:21" s="1" customFormat="1" ht="17.25" x14ac:dyDescent="0.2">
      <c r="A5" s="91" t="str">
        <f>+VLOOKUP(B2,N4:Q267,3)&amp;"  様"</f>
        <v>佐藤  様</v>
      </c>
      <c r="B5" s="13"/>
      <c r="C5" s="13"/>
      <c r="D5" s="13"/>
      <c r="E5" s="13"/>
      <c r="F5" s="7"/>
      <c r="G5" s="94" t="s">
        <v>239</v>
      </c>
      <c r="H5" s="9"/>
      <c r="I5" s="7"/>
      <c r="J5" s="58"/>
      <c r="K5" s="58"/>
      <c r="L5" s="58"/>
      <c r="M5" s="58"/>
      <c r="N5" s="69">
        <v>1</v>
      </c>
      <c r="O5" s="69"/>
      <c r="P5" s="60" t="s">
        <v>67</v>
      </c>
      <c r="Q5" s="60" t="s">
        <v>243</v>
      </c>
      <c r="R5" s="61"/>
      <c r="S5" s="61">
        <v>1</v>
      </c>
      <c r="T5" s="61" t="s">
        <v>229</v>
      </c>
      <c r="U5" s="61"/>
    </row>
    <row r="6" spans="1:21" s="1" customFormat="1" ht="14.25" customHeight="1" x14ac:dyDescent="0.15">
      <c r="A6" s="6"/>
      <c r="B6" s="6"/>
      <c r="C6" s="6"/>
      <c r="D6" s="6"/>
      <c r="E6" s="6"/>
      <c r="F6" s="6"/>
      <c r="G6" s="6"/>
      <c r="H6" s="131" t="s">
        <v>237</v>
      </c>
      <c r="I6" s="132"/>
      <c r="J6" s="60"/>
      <c r="K6" s="60"/>
      <c r="L6" s="60"/>
      <c r="M6" s="60"/>
      <c r="N6" s="69">
        <v>2</v>
      </c>
      <c r="O6" s="69"/>
      <c r="P6" s="60" t="s">
        <v>66</v>
      </c>
      <c r="Q6" s="60" t="s">
        <v>244</v>
      </c>
      <c r="R6" s="61"/>
      <c r="S6" s="61">
        <v>2</v>
      </c>
      <c r="T6" s="61" t="s">
        <v>115</v>
      </c>
      <c r="U6" s="61"/>
    </row>
    <row r="7" spans="1:21" s="1" customFormat="1" x14ac:dyDescent="0.15">
      <c r="A7" s="6" t="s">
        <v>7</v>
      </c>
      <c r="B7" s="6"/>
      <c r="C7" s="6"/>
      <c r="D7" s="7"/>
      <c r="E7" s="7"/>
      <c r="F7" s="7"/>
      <c r="G7" s="7"/>
      <c r="H7" s="133"/>
      <c r="I7" s="133"/>
      <c r="J7" s="58"/>
      <c r="K7" s="58"/>
      <c r="L7" s="58"/>
      <c r="M7" s="60" t="str">
        <f>+"納品書"&amp;H1&amp;M8</f>
        <v>納品書26092302サトウ</v>
      </c>
      <c r="N7" s="69">
        <v>3</v>
      </c>
      <c r="O7" s="69"/>
      <c r="P7" s="60" t="s">
        <v>240</v>
      </c>
      <c r="Q7" s="60" t="s">
        <v>245</v>
      </c>
      <c r="R7" s="61"/>
      <c r="S7" s="61">
        <v>3</v>
      </c>
      <c r="T7" s="61" t="s">
        <v>28</v>
      </c>
      <c r="U7" s="61"/>
    </row>
    <row r="8" spans="1:21" s="1" customFormat="1" x14ac:dyDescent="0.15">
      <c r="A8" s="6" t="s">
        <v>8</v>
      </c>
      <c r="B8" s="6"/>
      <c r="C8" s="6"/>
      <c r="D8" s="7"/>
      <c r="E8" s="7"/>
      <c r="F8" s="7"/>
      <c r="G8" s="7"/>
      <c r="H8" s="6"/>
      <c r="I8" s="6"/>
      <c r="J8" s="58"/>
      <c r="K8" s="58"/>
      <c r="L8" s="58"/>
      <c r="M8" s="58" t="str">
        <f>IFERROR(VLOOKUP(B2, N5:Q1020, 4, FALSE), "")</f>
        <v>サトウ</v>
      </c>
      <c r="N8" s="69">
        <v>4</v>
      </c>
      <c r="O8" s="69"/>
      <c r="P8" s="60" t="s">
        <v>68</v>
      </c>
      <c r="Q8" s="60" t="s">
        <v>246</v>
      </c>
      <c r="R8" s="61"/>
      <c r="S8" s="61">
        <v>4</v>
      </c>
      <c r="T8" s="61"/>
      <c r="U8" s="61"/>
    </row>
    <row r="9" spans="1:21" s="2" customFormat="1" ht="15" thickBot="1" x14ac:dyDescent="0.2">
      <c r="A9" s="16"/>
      <c r="B9" s="16"/>
      <c r="C9" s="16"/>
      <c r="D9" s="16"/>
      <c r="E9" s="16"/>
      <c r="F9" s="16"/>
      <c r="G9" s="16"/>
      <c r="H9" s="16"/>
      <c r="I9" s="16"/>
      <c r="J9" s="62"/>
      <c r="K9" s="62"/>
      <c r="L9" s="62"/>
      <c r="M9" s="62"/>
      <c r="N9" s="69">
        <v>5</v>
      </c>
      <c r="O9" s="69"/>
      <c r="P9" s="60" t="s">
        <v>241</v>
      </c>
      <c r="Q9" s="60" t="s">
        <v>247</v>
      </c>
      <c r="R9" s="56"/>
      <c r="S9" s="61">
        <v>5</v>
      </c>
      <c r="T9" s="61" t="s">
        <v>117</v>
      </c>
      <c r="U9" s="56"/>
    </row>
    <row r="10" spans="1:21" s="1" customFormat="1" ht="15" thickBot="1" x14ac:dyDescent="0.2">
      <c r="A10" s="17" t="s">
        <v>98</v>
      </c>
      <c r="B10" s="18"/>
      <c r="C10" s="18"/>
      <c r="D10" s="18" t="s">
        <v>10</v>
      </c>
      <c r="E10" s="18"/>
      <c r="F10" s="19" t="s">
        <v>11</v>
      </c>
      <c r="G10" s="19" t="s">
        <v>12</v>
      </c>
      <c r="H10" s="19" t="s">
        <v>100</v>
      </c>
      <c r="I10" s="19" t="s">
        <v>14</v>
      </c>
      <c r="J10" s="58"/>
      <c r="K10" s="58"/>
      <c r="L10" s="58"/>
      <c r="M10" s="62"/>
      <c r="N10" s="69">
        <v>6</v>
      </c>
      <c r="O10" s="69"/>
      <c r="P10" s="60" t="s">
        <v>116</v>
      </c>
      <c r="Q10" s="60" t="s">
        <v>242</v>
      </c>
      <c r="R10" s="61"/>
      <c r="S10" s="61">
        <v>6</v>
      </c>
      <c r="T10" s="61"/>
      <c r="U10" s="61"/>
    </row>
    <row r="11" spans="1:21" s="1" customFormat="1" ht="15" thickTop="1" x14ac:dyDescent="0.15">
      <c r="A11" s="84">
        <v>1</v>
      </c>
      <c r="B11" s="20">
        <v>1</v>
      </c>
      <c r="C11" s="21"/>
      <c r="D11" s="90" t="str">
        <f>IFERROR(VLOOKUP(A11, S$5:T$99, 2, FALSE), "")</f>
        <v>米</v>
      </c>
      <c r="E11" s="22"/>
      <c r="F11" s="23"/>
      <c r="G11" s="23"/>
      <c r="H11" s="24"/>
      <c r="I11" s="86"/>
      <c r="J11" s="58"/>
      <c r="K11" s="58"/>
      <c r="L11" s="58"/>
      <c r="M11" s="70" t="s">
        <v>231</v>
      </c>
      <c r="N11" s="69">
        <v>7</v>
      </c>
      <c r="O11" s="69"/>
      <c r="P11" s="69"/>
      <c r="Q11" s="60"/>
      <c r="R11" s="61"/>
      <c r="S11" s="61">
        <v>7</v>
      </c>
      <c r="T11" s="61" t="s">
        <v>206</v>
      </c>
      <c r="U11" s="61"/>
    </row>
    <row r="12" spans="1:21" s="1" customFormat="1" x14ac:dyDescent="0.15">
      <c r="A12" s="85"/>
      <c r="B12" s="25"/>
      <c r="C12" s="26"/>
      <c r="D12" s="26"/>
      <c r="E12" s="27"/>
      <c r="F12" s="28">
        <v>1</v>
      </c>
      <c r="G12" s="29">
        <v>9600</v>
      </c>
      <c r="H12" s="89">
        <f>+F12*G12</f>
        <v>9600</v>
      </c>
      <c r="I12" s="120">
        <v>24</v>
      </c>
      <c r="J12" s="58"/>
      <c r="K12" s="58"/>
      <c r="L12" s="58"/>
      <c r="M12" s="69"/>
      <c r="N12" s="69">
        <v>8</v>
      </c>
      <c r="O12" s="69"/>
      <c r="P12" s="69"/>
      <c r="Q12" s="60"/>
      <c r="R12" s="61"/>
      <c r="S12" s="61">
        <v>8</v>
      </c>
      <c r="T12" s="61"/>
      <c r="U12" s="61"/>
    </row>
    <row r="13" spans="1:21" s="1" customFormat="1" x14ac:dyDescent="0.15">
      <c r="A13" s="84">
        <v>2</v>
      </c>
      <c r="B13" s="20">
        <v>2</v>
      </c>
      <c r="C13" s="21"/>
      <c r="D13" s="90" t="str">
        <f>IFERROR(VLOOKUP(A13, S$5:T$26, 2, FALSE), "")</f>
        <v>精米代</v>
      </c>
      <c r="E13" s="22"/>
      <c r="F13" s="23"/>
      <c r="G13" s="23"/>
      <c r="H13" s="24"/>
      <c r="I13" s="86"/>
      <c r="J13" s="58"/>
      <c r="K13" s="58"/>
      <c r="L13" s="58"/>
      <c r="M13" s="58"/>
      <c r="N13" s="69">
        <v>9</v>
      </c>
      <c r="O13" s="69"/>
      <c r="P13" s="69"/>
      <c r="Q13" s="60"/>
      <c r="R13" s="61"/>
      <c r="S13" s="61">
        <v>9</v>
      </c>
      <c r="T13" s="61"/>
      <c r="U13" s="61"/>
    </row>
    <row r="14" spans="1:21" s="1" customFormat="1" x14ac:dyDescent="0.15">
      <c r="A14" s="85"/>
      <c r="B14" s="25"/>
      <c r="C14" s="26"/>
      <c r="D14" s="26"/>
      <c r="E14" s="27"/>
      <c r="F14" s="28">
        <v>1</v>
      </c>
      <c r="G14" s="29">
        <v>300</v>
      </c>
      <c r="H14" s="89">
        <f>+F14*G14</f>
        <v>300</v>
      </c>
      <c r="I14" s="120"/>
      <c r="J14" s="58"/>
      <c r="K14" s="58"/>
      <c r="L14" s="58"/>
      <c r="M14" s="58"/>
      <c r="N14" s="69">
        <v>10</v>
      </c>
      <c r="O14" s="69"/>
      <c r="P14" s="69"/>
      <c r="Q14" s="60"/>
      <c r="R14" s="61"/>
      <c r="S14" s="61">
        <v>10</v>
      </c>
      <c r="T14" s="61" t="s">
        <v>172</v>
      </c>
      <c r="U14" s="61"/>
    </row>
    <row r="15" spans="1:21" s="1" customFormat="1" x14ac:dyDescent="0.15">
      <c r="A15" s="84">
        <v>7</v>
      </c>
      <c r="B15" s="20">
        <v>3</v>
      </c>
      <c r="C15" s="21"/>
      <c r="D15" s="90" t="str">
        <f>IFERROR(VLOOKUP(A15, S$5:T$26, 2, FALSE), "")</f>
        <v>送料</v>
      </c>
      <c r="E15" s="22"/>
      <c r="F15" s="23"/>
      <c r="G15" s="23"/>
      <c r="H15" s="24"/>
      <c r="I15" s="86"/>
      <c r="J15" s="58"/>
      <c r="K15" s="58"/>
      <c r="L15" s="58"/>
      <c r="M15" s="58"/>
      <c r="N15" s="69">
        <v>11</v>
      </c>
      <c r="O15" s="69"/>
      <c r="P15" s="69"/>
      <c r="Q15" s="60"/>
      <c r="R15" s="61"/>
      <c r="S15" s="61"/>
      <c r="T15" s="61"/>
      <c r="U15" s="61"/>
    </row>
    <row r="16" spans="1:21" s="1" customFormat="1" x14ac:dyDescent="0.15">
      <c r="A16" s="85"/>
      <c r="B16" s="25"/>
      <c r="C16" s="26"/>
      <c r="D16" s="26"/>
      <c r="E16" s="27"/>
      <c r="F16" s="28">
        <v>1</v>
      </c>
      <c r="G16" s="29">
        <v>1700</v>
      </c>
      <c r="H16" s="89">
        <f>+F16*G16</f>
        <v>1700</v>
      </c>
      <c r="I16" s="120"/>
      <c r="J16" s="58"/>
      <c r="K16" s="58"/>
      <c r="L16" s="58"/>
      <c r="M16" s="58"/>
      <c r="N16" s="69">
        <v>12</v>
      </c>
      <c r="O16" s="69"/>
      <c r="P16" s="69"/>
      <c r="Q16" s="60"/>
      <c r="R16" s="61"/>
      <c r="S16" s="61"/>
      <c r="T16" s="61"/>
      <c r="U16" s="61"/>
    </row>
    <row r="17" spans="1:21" s="1" customFormat="1" x14ac:dyDescent="0.15">
      <c r="A17" s="84"/>
      <c r="B17" s="20">
        <v>4</v>
      </c>
      <c r="C17" s="21"/>
      <c r="D17" s="90" t="str">
        <f>IFERROR(VLOOKUP(A17, S$5:T$26, 2, FALSE), "")</f>
        <v/>
      </c>
      <c r="E17" s="22"/>
      <c r="F17" s="23"/>
      <c r="G17" s="23"/>
      <c r="H17" s="24"/>
      <c r="I17" s="86"/>
      <c r="J17" s="58"/>
      <c r="K17" s="58"/>
      <c r="L17" s="58"/>
      <c r="M17" s="58"/>
      <c r="N17" s="69">
        <v>13</v>
      </c>
      <c r="O17" s="69"/>
      <c r="P17" s="69"/>
      <c r="Q17" s="60"/>
      <c r="R17" s="61"/>
      <c r="S17" s="61"/>
      <c r="T17" s="61"/>
      <c r="U17" s="61"/>
    </row>
    <row r="18" spans="1:21" s="1" customFormat="1" x14ac:dyDescent="0.15">
      <c r="A18" s="85"/>
      <c r="B18" s="25"/>
      <c r="C18" s="26"/>
      <c r="D18" s="26"/>
      <c r="E18" s="27"/>
      <c r="F18" s="28"/>
      <c r="G18" s="29"/>
      <c r="H18" s="89">
        <f>+F18*G18</f>
        <v>0</v>
      </c>
      <c r="I18" s="120"/>
      <c r="J18" s="58"/>
      <c r="K18" s="58"/>
      <c r="L18" s="58"/>
      <c r="M18" s="58"/>
      <c r="N18" s="69">
        <v>14</v>
      </c>
      <c r="O18" s="69"/>
      <c r="P18" s="69"/>
      <c r="Q18" s="60"/>
      <c r="R18" s="61"/>
      <c r="S18" s="61"/>
      <c r="T18" s="61"/>
      <c r="U18" s="61"/>
    </row>
    <row r="19" spans="1:21" s="1" customFormat="1" x14ac:dyDescent="0.15">
      <c r="A19" s="84"/>
      <c r="B19" s="20">
        <v>5</v>
      </c>
      <c r="C19" s="31"/>
      <c r="D19" s="90" t="str">
        <f>IFERROR(VLOOKUP(A19, S$5:T$26, 2, FALSE), "")</f>
        <v/>
      </c>
      <c r="E19" s="33"/>
      <c r="F19" s="24"/>
      <c r="G19" s="24"/>
      <c r="H19" s="24"/>
      <c r="I19" s="86"/>
      <c r="J19" s="58"/>
      <c r="K19" s="58"/>
      <c r="L19" s="58"/>
      <c r="M19" s="58"/>
      <c r="N19" s="69">
        <v>15</v>
      </c>
      <c r="O19" s="69"/>
      <c r="P19" s="69"/>
      <c r="Q19" s="60"/>
      <c r="R19" s="61"/>
      <c r="S19" s="61"/>
      <c r="T19" s="61"/>
      <c r="U19" s="61"/>
    </row>
    <row r="20" spans="1:21" s="1" customFormat="1" ht="15" thickBot="1" x14ac:dyDescent="0.2">
      <c r="A20" s="84"/>
      <c r="B20" s="20"/>
      <c r="C20" s="31"/>
      <c r="D20" s="32"/>
      <c r="E20" s="33"/>
      <c r="F20" s="24"/>
      <c r="G20" s="34"/>
      <c r="H20" s="89">
        <f>+F20*G20</f>
        <v>0</v>
      </c>
      <c r="I20" s="120"/>
      <c r="J20" s="58"/>
      <c r="K20" s="58"/>
      <c r="L20" s="58"/>
      <c r="M20" s="58"/>
      <c r="N20" s="69">
        <v>16</v>
      </c>
      <c r="O20" s="69"/>
      <c r="P20" s="69"/>
      <c r="Q20" s="60"/>
      <c r="R20" s="61"/>
      <c r="S20" s="61"/>
      <c r="T20" s="61"/>
      <c r="U20" s="61"/>
    </row>
    <row r="21" spans="1:21" ht="18" thickBot="1" x14ac:dyDescent="0.2">
      <c r="A21" s="35"/>
      <c r="B21" s="36"/>
      <c r="C21" s="36"/>
      <c r="D21" s="36" t="s">
        <v>101</v>
      </c>
      <c r="E21" s="36"/>
      <c r="F21" s="37"/>
      <c r="G21" s="38"/>
      <c r="H21" s="39">
        <f>+SUM(H11:H20)</f>
        <v>11600</v>
      </c>
      <c r="I21" s="37"/>
      <c r="J21" s="58"/>
      <c r="K21" s="58"/>
      <c r="L21" s="58"/>
      <c r="M21" s="4">
        <f>+SUM(H11:H20)</f>
        <v>11600</v>
      </c>
      <c r="N21" s="69">
        <v>17</v>
      </c>
      <c r="O21" s="69"/>
      <c r="P21" s="69"/>
      <c r="Q21" s="60"/>
      <c r="R21" s="61"/>
      <c r="S21" s="61"/>
    </row>
    <row r="22" spans="1:21" s="1" customFormat="1" ht="18" thickBot="1" x14ac:dyDescent="0.2">
      <c r="A22" s="7"/>
      <c r="B22" s="7"/>
      <c r="C22" s="7"/>
      <c r="D22" s="7"/>
      <c r="E22" s="40"/>
      <c r="F22" s="41" t="s">
        <v>16</v>
      </c>
      <c r="G22" s="34"/>
      <c r="H22" s="41" t="s">
        <v>156</v>
      </c>
      <c r="I22" s="64">
        <f>H21+G22</f>
        <v>11600</v>
      </c>
      <c r="J22" s="58"/>
      <c r="K22" s="58"/>
      <c r="L22" s="58"/>
      <c r="M22" s="58"/>
      <c r="N22" s="69">
        <v>18</v>
      </c>
      <c r="O22" s="69"/>
      <c r="P22" s="69"/>
      <c r="Q22" s="60"/>
      <c r="R22" s="61"/>
      <c r="S22" s="61"/>
      <c r="T22" s="61"/>
      <c r="U22" s="61"/>
    </row>
    <row r="23" spans="1:21" s="3" customFormat="1" ht="18.75" x14ac:dyDescent="0.2">
      <c r="A23" s="42"/>
      <c r="B23" s="42"/>
      <c r="C23" s="42"/>
      <c r="D23" s="42"/>
      <c r="E23" s="42"/>
      <c r="F23" s="42"/>
      <c r="G23" s="42"/>
      <c r="H23" s="42"/>
      <c r="I23" s="42"/>
      <c r="J23" s="65"/>
      <c r="K23" s="65"/>
      <c r="L23" s="65"/>
      <c r="M23" s="65"/>
      <c r="N23" s="69">
        <v>19</v>
      </c>
      <c r="O23" s="69"/>
      <c r="P23" s="69"/>
      <c r="Q23" s="60"/>
      <c r="R23" s="61"/>
      <c r="S23" s="61"/>
      <c r="T23" s="61"/>
      <c r="U23" s="95"/>
    </row>
    <row r="24" spans="1:21" s="1" customFormat="1" ht="42" x14ac:dyDescent="0.4">
      <c r="A24" s="43"/>
      <c r="B24" s="44"/>
      <c r="C24" s="44"/>
      <c r="D24" s="45"/>
      <c r="E24" s="46" t="s">
        <v>5</v>
      </c>
      <c r="F24" s="44"/>
      <c r="G24" s="96" t="s">
        <v>4</v>
      </c>
      <c r="H24" s="97">
        <f>H1</f>
        <v>26092302</v>
      </c>
      <c r="I24" s="98">
        <f>+I1</f>
        <v>0</v>
      </c>
      <c r="J24" s="66" t="s">
        <v>1</v>
      </c>
      <c r="K24" s="58"/>
      <c r="L24" s="58"/>
      <c r="M24" s="58"/>
      <c r="N24" s="69">
        <v>20</v>
      </c>
      <c r="O24" s="69"/>
      <c r="P24" s="69"/>
      <c r="Q24" s="60"/>
      <c r="R24" s="61"/>
      <c r="S24" s="61"/>
      <c r="T24" s="61"/>
      <c r="U24" s="61"/>
    </row>
    <row r="25" spans="1:21" s="1" customFormat="1" x14ac:dyDescent="0.15">
      <c r="A25" s="12" t="s">
        <v>6</v>
      </c>
      <c r="B25" s="13">
        <f>B2</f>
        <v>1</v>
      </c>
      <c r="C25" s="14"/>
      <c r="D25" s="14"/>
      <c r="E25" s="7"/>
      <c r="F25" s="7"/>
      <c r="G25" s="7"/>
      <c r="H25" s="7"/>
      <c r="I25" s="93">
        <f ca="1">I2</f>
        <v>46288</v>
      </c>
      <c r="J25" s="58"/>
      <c r="K25" s="58"/>
      <c r="L25" s="58"/>
      <c r="M25" s="58"/>
      <c r="N25" s="69">
        <v>21</v>
      </c>
      <c r="O25" s="69"/>
      <c r="P25" s="69"/>
      <c r="Q25" s="60"/>
      <c r="R25" s="61"/>
      <c r="S25" s="61"/>
      <c r="T25" s="61"/>
      <c r="U25" s="61"/>
    </row>
    <row r="26" spans="1:21" s="1" customFormat="1" ht="21" x14ac:dyDescent="0.2">
      <c r="A26" s="47">
        <f>A3</f>
        <v>0</v>
      </c>
      <c r="B26" s="13"/>
      <c r="C26" s="13"/>
      <c r="D26" s="13"/>
      <c r="E26" s="13"/>
      <c r="F26" s="15" t="s">
        <v>1</v>
      </c>
      <c r="G26" s="9"/>
      <c r="H26" s="7"/>
      <c r="I26" s="7"/>
      <c r="J26" s="58"/>
      <c r="K26" s="58"/>
      <c r="L26" s="58"/>
      <c r="M26" s="58"/>
      <c r="N26" s="69">
        <v>22</v>
      </c>
      <c r="O26" s="69"/>
      <c r="P26" s="69"/>
      <c r="Q26" s="60"/>
      <c r="R26" s="61"/>
      <c r="S26" s="61"/>
      <c r="T26" s="61"/>
      <c r="U26" s="61"/>
    </row>
    <row r="27" spans="1:21" s="1" customFormat="1" x14ac:dyDescent="0.15">
      <c r="A27" s="7"/>
      <c r="B27" s="7"/>
      <c r="C27" s="7"/>
      <c r="D27" s="7"/>
      <c r="E27" s="7"/>
      <c r="F27" s="7"/>
      <c r="G27" s="7" t="str">
        <f>+G4</f>
        <v xml:space="preserve"> 〒住所</v>
      </c>
      <c r="H27" s="7"/>
      <c r="I27" s="7"/>
      <c r="J27" s="58"/>
      <c r="K27" s="58"/>
      <c r="L27" s="58"/>
      <c r="M27" s="58"/>
      <c r="N27" s="69">
        <v>23</v>
      </c>
      <c r="O27" s="69"/>
      <c r="P27" s="69"/>
      <c r="Q27" s="60"/>
      <c r="R27" s="61"/>
      <c r="S27" s="61"/>
      <c r="T27" s="61"/>
      <c r="U27" s="61"/>
    </row>
    <row r="28" spans="1:21" s="1" customFormat="1" ht="17.25" x14ac:dyDescent="0.2">
      <c r="A28" s="48" t="str">
        <f>A5</f>
        <v>佐藤  様</v>
      </c>
      <c r="B28" s="13"/>
      <c r="C28" s="13"/>
      <c r="D28" s="13"/>
      <c r="E28" s="13"/>
      <c r="F28" s="7"/>
      <c r="G28" s="33" t="str">
        <f>+G5</f>
        <v xml:space="preserve">   TEL 電話番号</v>
      </c>
      <c r="H28" s="7"/>
      <c r="I28" s="7"/>
      <c r="J28" s="7"/>
      <c r="K28" s="7"/>
      <c r="L28" s="7"/>
      <c r="M28" s="58"/>
      <c r="N28" s="69">
        <v>24</v>
      </c>
      <c r="O28" s="88"/>
      <c r="P28" s="88"/>
      <c r="Q28" s="61"/>
      <c r="R28" s="61"/>
      <c r="S28" s="61"/>
      <c r="T28" s="61"/>
      <c r="U28" s="61"/>
    </row>
    <row r="29" spans="1:21" s="1" customFormat="1" x14ac:dyDescent="0.15">
      <c r="A29" s="6"/>
      <c r="B29" s="6"/>
      <c r="C29" s="6"/>
      <c r="D29" s="6"/>
      <c r="E29" s="6"/>
      <c r="F29" s="6"/>
      <c r="G29" s="6"/>
      <c r="H29" s="131" t="str">
        <f>+H6</f>
        <v>代表者名</v>
      </c>
      <c r="I29" s="132"/>
      <c r="J29" s="6"/>
      <c r="K29" s="6"/>
      <c r="L29" s="6"/>
      <c r="M29" s="7"/>
      <c r="N29" s="69">
        <v>25</v>
      </c>
      <c r="O29" s="88"/>
      <c r="P29" s="88"/>
      <c r="Q29" s="61"/>
      <c r="R29" s="61"/>
      <c r="S29" s="61"/>
      <c r="T29" s="61"/>
      <c r="U29" s="61"/>
    </row>
    <row r="30" spans="1:21" s="1" customFormat="1" x14ac:dyDescent="0.15">
      <c r="A30" s="6" t="s">
        <v>7</v>
      </c>
      <c r="B30" s="6"/>
      <c r="C30" s="6"/>
      <c r="D30" s="7"/>
      <c r="E30" s="7"/>
      <c r="F30" s="7"/>
      <c r="G30" s="7"/>
      <c r="H30" s="133"/>
      <c r="I30" s="133"/>
      <c r="J30" s="7"/>
      <c r="K30" s="7"/>
      <c r="L30" s="7"/>
      <c r="M30" s="6"/>
      <c r="N30" s="69">
        <v>26</v>
      </c>
      <c r="O30" s="88"/>
      <c r="P30" s="88"/>
      <c r="Q30" s="61"/>
      <c r="R30" s="61"/>
      <c r="S30" s="61"/>
      <c r="T30" s="61"/>
      <c r="U30" s="61"/>
    </row>
    <row r="31" spans="1:21" s="1" customFormat="1" x14ac:dyDescent="0.15">
      <c r="A31" s="6" t="s">
        <v>9</v>
      </c>
      <c r="B31" s="6"/>
      <c r="C31" s="6"/>
      <c r="D31" s="7"/>
      <c r="E31" s="7"/>
      <c r="F31" s="7"/>
      <c r="G31" s="7"/>
      <c r="H31" s="6"/>
      <c r="I31" s="6"/>
      <c r="J31" s="7"/>
      <c r="K31" s="7"/>
      <c r="L31" s="7"/>
      <c r="M31" s="7"/>
      <c r="N31" s="69">
        <v>27</v>
      </c>
      <c r="O31" s="88"/>
      <c r="P31" s="88"/>
      <c r="Q31" s="61"/>
      <c r="R31" s="61"/>
      <c r="S31" s="61"/>
      <c r="T31" s="61"/>
      <c r="U31" s="61"/>
    </row>
    <row r="32" spans="1:21" s="2" customFormat="1" ht="15" thickBot="1" x14ac:dyDescent="0.2">
      <c r="A32" s="16"/>
      <c r="B32" s="16"/>
      <c r="C32" s="16"/>
      <c r="D32" s="16"/>
      <c r="E32" s="16"/>
      <c r="F32" s="16"/>
      <c r="G32" s="16"/>
      <c r="H32" s="16"/>
      <c r="I32" s="16"/>
      <c r="J32" s="16"/>
      <c r="K32" s="16"/>
      <c r="L32" s="16"/>
      <c r="M32" s="16"/>
      <c r="N32" s="69">
        <v>28</v>
      </c>
      <c r="O32" s="88"/>
      <c r="P32" s="88"/>
      <c r="Q32" s="61"/>
      <c r="R32" s="61"/>
      <c r="S32" s="61"/>
      <c r="T32" s="61"/>
      <c r="U32" s="56"/>
    </row>
    <row r="33" spans="1:21" s="1" customFormat="1" ht="15" thickBot="1" x14ac:dyDescent="0.2">
      <c r="A33" s="17" t="s">
        <v>98</v>
      </c>
      <c r="B33" s="18"/>
      <c r="C33" s="18"/>
      <c r="D33" s="18" t="s">
        <v>10</v>
      </c>
      <c r="E33" s="18"/>
      <c r="F33" s="19" t="s">
        <v>11</v>
      </c>
      <c r="G33" s="19" t="s">
        <v>12</v>
      </c>
      <c r="H33" s="19" t="s">
        <v>13</v>
      </c>
      <c r="I33" s="19" t="s">
        <v>163</v>
      </c>
      <c r="J33" s="7"/>
      <c r="K33" s="7"/>
      <c r="L33" s="7"/>
      <c r="M33" s="16"/>
      <c r="N33" s="69">
        <v>29</v>
      </c>
      <c r="O33" s="88"/>
      <c r="P33" s="88"/>
      <c r="Q33" s="61"/>
      <c r="R33" s="61"/>
      <c r="S33" s="61"/>
      <c r="T33" s="61"/>
      <c r="U33" s="61"/>
    </row>
    <row r="34" spans="1:21" s="1" customFormat="1" ht="15" thickTop="1" x14ac:dyDescent="0.15">
      <c r="A34" s="84">
        <f>A11</f>
        <v>1</v>
      </c>
      <c r="B34" s="20">
        <f>B11</f>
        <v>1</v>
      </c>
      <c r="C34" s="31">
        <f>C11</f>
        <v>0</v>
      </c>
      <c r="D34" s="31" t="str">
        <f>+D11</f>
        <v>米</v>
      </c>
      <c r="E34" s="33"/>
      <c r="F34" s="49"/>
      <c r="G34" s="24">
        <f>G11</f>
        <v>0</v>
      </c>
      <c r="H34" s="24"/>
      <c r="I34" s="63">
        <f>I11</f>
        <v>0</v>
      </c>
      <c r="J34" s="7"/>
      <c r="K34" s="7"/>
      <c r="L34" s="7"/>
      <c r="M34" s="7"/>
      <c r="N34" s="69">
        <v>30</v>
      </c>
      <c r="O34" s="88"/>
      <c r="P34" s="88"/>
      <c r="Q34" s="61"/>
      <c r="R34" s="61"/>
      <c r="S34" s="61"/>
      <c r="T34" s="61"/>
      <c r="U34" s="61"/>
    </row>
    <row r="35" spans="1:21" s="1" customFormat="1" x14ac:dyDescent="0.15">
      <c r="A35" s="85"/>
      <c r="B35" s="25"/>
      <c r="C35" s="50"/>
      <c r="D35" s="50">
        <f>D12</f>
        <v>0</v>
      </c>
      <c r="E35" s="51"/>
      <c r="F35" s="52">
        <f>F12</f>
        <v>1</v>
      </c>
      <c r="G35" s="30">
        <f>G12</f>
        <v>9600</v>
      </c>
      <c r="H35" s="30">
        <f>H12</f>
        <v>9600</v>
      </c>
      <c r="I35" s="120" t="s">
        <v>233</v>
      </c>
      <c r="J35" s="7"/>
      <c r="K35" s="7"/>
      <c r="L35" s="7"/>
      <c r="M35" s="7"/>
      <c r="N35" s="69">
        <v>31</v>
      </c>
      <c r="O35" s="88"/>
      <c r="P35" s="88"/>
      <c r="Q35" s="61"/>
      <c r="R35" s="61"/>
      <c r="S35" s="61"/>
      <c r="T35" s="61"/>
      <c r="U35" s="61"/>
    </row>
    <row r="36" spans="1:21" s="1" customFormat="1" x14ac:dyDescent="0.15">
      <c r="A36" s="84">
        <f>A13</f>
        <v>2</v>
      </c>
      <c r="B36" s="20">
        <f>B13</f>
        <v>2</v>
      </c>
      <c r="C36" s="31">
        <f>C13</f>
        <v>0</v>
      </c>
      <c r="D36" s="31" t="str">
        <f>+D13</f>
        <v>精米代</v>
      </c>
      <c r="E36" s="33"/>
      <c r="F36" s="49"/>
      <c r="G36" s="24"/>
      <c r="H36" s="24"/>
      <c r="I36" s="63"/>
      <c r="J36" s="58"/>
      <c r="K36" s="58"/>
      <c r="L36" s="58"/>
      <c r="M36" s="7"/>
      <c r="N36" s="69">
        <v>32</v>
      </c>
      <c r="O36" s="69"/>
      <c r="P36" s="69"/>
      <c r="Q36" s="60"/>
      <c r="R36" s="61"/>
      <c r="S36" s="61"/>
      <c r="T36" s="61"/>
      <c r="U36" s="61"/>
    </row>
    <row r="37" spans="1:21" s="1" customFormat="1" x14ac:dyDescent="0.15">
      <c r="A37" s="85"/>
      <c r="B37" s="25"/>
      <c r="C37" s="50"/>
      <c r="D37" s="50">
        <f>D14</f>
        <v>0</v>
      </c>
      <c r="E37" s="51"/>
      <c r="F37" s="52">
        <f>F14</f>
        <v>1</v>
      </c>
      <c r="G37" s="30"/>
      <c r="H37" s="30">
        <f>H14</f>
        <v>300</v>
      </c>
      <c r="I37" s="120">
        <f>I14</f>
        <v>0</v>
      </c>
      <c r="J37" s="58"/>
      <c r="K37" s="58"/>
      <c r="L37" s="58"/>
      <c r="M37" s="58"/>
      <c r="N37" s="69">
        <v>33</v>
      </c>
      <c r="O37" s="69"/>
      <c r="P37" s="69"/>
      <c r="Q37" s="60"/>
      <c r="R37" s="61"/>
      <c r="S37" s="61"/>
      <c r="T37" s="61"/>
      <c r="U37" s="61"/>
    </row>
    <row r="38" spans="1:21" s="1" customFormat="1" x14ac:dyDescent="0.15">
      <c r="A38" s="84">
        <f>A15</f>
        <v>7</v>
      </c>
      <c r="B38" s="20">
        <f>B15</f>
        <v>3</v>
      </c>
      <c r="C38" s="31">
        <f>C15</f>
        <v>0</v>
      </c>
      <c r="D38" s="31" t="str">
        <f>+D15</f>
        <v>送料</v>
      </c>
      <c r="E38" s="33"/>
      <c r="F38" s="49"/>
      <c r="G38" s="24"/>
      <c r="H38" s="24"/>
      <c r="I38" s="63"/>
      <c r="J38" s="58"/>
      <c r="K38" s="58"/>
      <c r="L38" s="58"/>
      <c r="M38" s="58"/>
      <c r="N38" s="69">
        <v>34</v>
      </c>
      <c r="O38" s="69"/>
      <c r="P38" s="69"/>
      <c r="Q38" s="60"/>
      <c r="R38" s="61"/>
      <c r="S38" s="61"/>
      <c r="T38" s="61"/>
      <c r="U38" s="61"/>
    </row>
    <row r="39" spans="1:21" s="1" customFormat="1" x14ac:dyDescent="0.15">
      <c r="A39" s="85"/>
      <c r="B39" s="25"/>
      <c r="C39" s="50"/>
      <c r="D39" s="50">
        <f>D16</f>
        <v>0</v>
      </c>
      <c r="E39" s="51"/>
      <c r="F39" s="52">
        <f>F16</f>
        <v>1</v>
      </c>
      <c r="G39" s="30">
        <f>G16</f>
        <v>1700</v>
      </c>
      <c r="H39" s="30">
        <f>H16</f>
        <v>1700</v>
      </c>
      <c r="I39" s="120">
        <f>I16</f>
        <v>0</v>
      </c>
      <c r="J39" s="58"/>
      <c r="K39" s="58"/>
      <c r="L39" s="58"/>
      <c r="M39" s="58"/>
      <c r="N39" s="69">
        <v>35</v>
      </c>
      <c r="O39" s="69"/>
      <c r="P39" s="69"/>
      <c r="Q39" s="60"/>
      <c r="R39" s="61"/>
      <c r="S39" s="61"/>
      <c r="T39" s="61"/>
      <c r="U39" s="61"/>
    </row>
    <row r="40" spans="1:21" s="1" customFormat="1" x14ac:dyDescent="0.15">
      <c r="A40" s="84">
        <f>A17</f>
        <v>0</v>
      </c>
      <c r="B40" s="20">
        <f>B17</f>
        <v>4</v>
      </c>
      <c r="C40" s="31">
        <f>C17</f>
        <v>0</v>
      </c>
      <c r="D40" s="31" t="str">
        <f>+D17</f>
        <v/>
      </c>
      <c r="E40" s="33"/>
      <c r="F40" s="49"/>
      <c r="G40" s="24"/>
      <c r="H40" s="24"/>
      <c r="I40" s="63"/>
      <c r="J40" s="58"/>
      <c r="K40" s="58"/>
      <c r="L40" s="58"/>
      <c r="M40" s="58"/>
      <c r="N40" s="69">
        <v>36</v>
      </c>
      <c r="O40" s="69"/>
      <c r="P40" s="69"/>
      <c r="Q40" s="60"/>
      <c r="R40" s="61"/>
      <c r="S40" s="61"/>
      <c r="T40" s="61"/>
      <c r="U40" s="61"/>
    </row>
    <row r="41" spans="1:21" s="1" customFormat="1" x14ac:dyDescent="0.15">
      <c r="A41" s="85"/>
      <c r="B41" s="25"/>
      <c r="C41" s="50"/>
      <c r="D41" s="50">
        <f>D18</f>
        <v>0</v>
      </c>
      <c r="E41" s="51"/>
      <c r="F41" s="52">
        <f>F18</f>
        <v>0</v>
      </c>
      <c r="G41" s="30">
        <f>G18</f>
        <v>0</v>
      </c>
      <c r="H41" s="52">
        <f>H18</f>
        <v>0</v>
      </c>
      <c r="I41" s="120">
        <f>I18</f>
        <v>0</v>
      </c>
      <c r="J41" s="58"/>
      <c r="K41" s="58"/>
      <c r="L41" s="58"/>
      <c r="M41" s="58"/>
      <c r="N41" s="69">
        <v>37</v>
      </c>
      <c r="O41" s="69"/>
      <c r="P41" s="69"/>
      <c r="Q41" s="60"/>
      <c r="R41" s="61"/>
      <c r="S41" s="61"/>
      <c r="T41" s="61"/>
      <c r="U41" s="61"/>
    </row>
    <row r="42" spans="1:21" s="1" customFormat="1" x14ac:dyDescent="0.15">
      <c r="A42" s="84">
        <f>A19</f>
        <v>0</v>
      </c>
      <c r="B42" s="20">
        <f>B19</f>
        <v>5</v>
      </c>
      <c r="C42" s="31">
        <f>C19</f>
        <v>0</v>
      </c>
      <c r="D42" s="31" t="str">
        <f>+D19</f>
        <v/>
      </c>
      <c r="E42" s="33"/>
      <c r="F42" s="49"/>
      <c r="G42" s="24"/>
      <c r="H42" s="24"/>
      <c r="I42" s="63"/>
      <c r="J42" s="58"/>
      <c r="K42" s="58"/>
      <c r="L42" s="58"/>
      <c r="M42" s="58"/>
      <c r="N42" s="69">
        <v>38</v>
      </c>
      <c r="O42" s="69"/>
      <c r="P42" s="69"/>
      <c r="Q42" s="60"/>
      <c r="R42" s="61"/>
      <c r="S42" s="61"/>
      <c r="T42" s="61"/>
      <c r="U42" s="61"/>
    </row>
    <row r="43" spans="1:21" s="1" customFormat="1" ht="15" thickBot="1" x14ac:dyDescent="0.2">
      <c r="A43" s="84"/>
      <c r="B43" s="20"/>
      <c r="C43" s="31"/>
      <c r="D43" s="31">
        <f>D20</f>
        <v>0</v>
      </c>
      <c r="E43" s="33"/>
      <c r="F43" s="49">
        <f>F20</f>
        <v>0</v>
      </c>
      <c r="G43" s="34">
        <f>G20</f>
        <v>0</v>
      </c>
      <c r="H43" s="24">
        <f>H20</f>
        <v>0</v>
      </c>
      <c r="I43" s="120"/>
      <c r="J43" s="58"/>
      <c r="K43" s="58"/>
      <c r="L43" s="58"/>
      <c r="M43" s="58"/>
      <c r="N43" s="69">
        <v>39</v>
      </c>
      <c r="O43" s="69"/>
      <c r="P43" s="69"/>
      <c r="Q43" s="60"/>
      <c r="R43" s="61"/>
      <c r="S43" s="61"/>
      <c r="T43" s="61"/>
      <c r="U43" s="61"/>
    </row>
    <row r="44" spans="1:21" ht="18" thickBot="1" x14ac:dyDescent="0.2">
      <c r="A44" s="35"/>
      <c r="B44" s="36"/>
      <c r="C44" s="36"/>
      <c r="D44" s="36" t="s">
        <v>15</v>
      </c>
      <c r="E44" s="36"/>
      <c r="F44" s="37"/>
      <c r="G44" s="38">
        <f>G21</f>
        <v>0</v>
      </c>
      <c r="H44" s="39">
        <f>H21</f>
        <v>11600</v>
      </c>
      <c r="I44" s="37"/>
      <c r="J44" s="58"/>
      <c r="K44" s="58"/>
      <c r="L44" s="58"/>
      <c r="M44" s="58"/>
      <c r="N44" s="69">
        <v>40</v>
      </c>
      <c r="O44" s="69"/>
      <c r="P44" s="69"/>
      <c r="Q44" s="60"/>
      <c r="S44" s="61"/>
    </row>
    <row r="45" spans="1:21" s="1" customFormat="1" ht="18" thickBot="1" x14ac:dyDescent="0.2">
      <c r="A45" s="7"/>
      <c r="B45" s="7"/>
      <c r="C45" s="7"/>
      <c r="D45" s="7"/>
      <c r="E45" s="40">
        <f>E22</f>
        <v>0</v>
      </c>
      <c r="F45" s="41" t="str">
        <f>F22</f>
        <v>税 額</v>
      </c>
      <c r="G45" s="34">
        <f>G22</f>
        <v>0</v>
      </c>
      <c r="H45" s="41" t="str">
        <f>H22</f>
        <v>合計額</v>
      </c>
      <c r="I45" s="64">
        <f>H44+G45</f>
        <v>11600</v>
      </c>
      <c r="J45" s="58"/>
      <c r="K45" s="58"/>
      <c r="L45" s="58"/>
      <c r="M45" s="58"/>
      <c r="N45" s="69">
        <v>41</v>
      </c>
      <c r="O45" s="69"/>
      <c r="P45" s="69"/>
      <c r="Q45" s="60"/>
      <c r="R45" s="61"/>
      <c r="S45" s="61"/>
      <c r="T45" s="61"/>
      <c r="U45" s="61"/>
    </row>
    <row r="46" spans="1:21" s="1" customFormat="1" ht="21" x14ac:dyDescent="0.2">
      <c r="A46" s="54"/>
      <c r="B46" s="53" t="s">
        <v>17</v>
      </c>
      <c r="C46" s="54"/>
      <c r="D46" s="54"/>
      <c r="E46" s="54"/>
      <c r="F46" s="54"/>
      <c r="G46" s="54"/>
      <c r="H46" s="54"/>
      <c r="I46" s="54"/>
      <c r="J46" s="15" t="s">
        <v>1</v>
      </c>
      <c r="K46" s="7"/>
      <c r="L46" s="7"/>
      <c r="M46" s="58"/>
      <c r="N46" s="69">
        <v>42</v>
      </c>
      <c r="O46" s="88"/>
      <c r="P46" s="88"/>
      <c r="Q46" s="61"/>
      <c r="R46" s="61"/>
      <c r="S46" s="61"/>
      <c r="T46" s="61"/>
      <c r="U46" s="61"/>
    </row>
    <row r="47" spans="1:21" s="1" customFormat="1" ht="17.25" x14ac:dyDescent="0.2">
      <c r="A47" s="7" t="s">
        <v>25</v>
      </c>
      <c r="B47" s="7"/>
      <c r="C47" s="7"/>
      <c r="D47" s="7"/>
      <c r="E47" s="4"/>
      <c r="F47" s="4"/>
      <c r="G47" s="4"/>
      <c r="H47" s="4"/>
      <c r="I47" s="4"/>
      <c r="J47" s="9" t="s">
        <v>1</v>
      </c>
      <c r="K47" s="7"/>
      <c r="L47" s="7"/>
      <c r="M47" s="7"/>
      <c r="N47" s="69">
        <v>43</v>
      </c>
      <c r="O47" s="88"/>
      <c r="P47" s="88"/>
      <c r="Q47" s="61"/>
      <c r="R47" s="61"/>
      <c r="S47" s="61"/>
      <c r="T47" s="61"/>
      <c r="U47" s="61"/>
    </row>
    <row r="48" spans="1:21" s="1" customFormat="1" ht="17.25" x14ac:dyDescent="0.2">
      <c r="A48" s="7" t="s">
        <v>18</v>
      </c>
      <c r="B48" s="7"/>
      <c r="C48" s="7"/>
      <c r="D48" s="7"/>
      <c r="E48" s="4"/>
      <c r="F48" s="4"/>
      <c r="G48" s="4"/>
      <c r="H48" s="54"/>
      <c r="I48" s="67"/>
      <c r="J48" s="9"/>
      <c r="K48" s="7"/>
      <c r="L48" s="7"/>
      <c r="M48" s="7"/>
      <c r="N48" s="69">
        <v>44</v>
      </c>
      <c r="O48" s="88"/>
      <c r="P48" s="88"/>
      <c r="Q48" s="61"/>
      <c r="R48" s="61"/>
      <c r="S48" s="61"/>
      <c r="T48" s="61"/>
      <c r="U48" s="61"/>
    </row>
    <row r="49" spans="1:21" s="1" customFormat="1" ht="17.25" x14ac:dyDescent="0.2">
      <c r="A49" s="7" t="s">
        <v>19</v>
      </c>
      <c r="B49" s="7"/>
      <c r="C49" s="7"/>
      <c r="D49" s="7"/>
      <c r="E49" s="4"/>
      <c r="F49" s="4"/>
      <c r="G49" s="4"/>
      <c r="H49" s="54"/>
      <c r="I49" s="4"/>
      <c r="J49" s="9" t="s">
        <v>1</v>
      </c>
      <c r="K49" s="7"/>
      <c r="L49" s="7"/>
      <c r="M49" s="7"/>
      <c r="N49" s="69">
        <v>45</v>
      </c>
      <c r="O49" s="88"/>
      <c r="P49" s="88"/>
      <c r="Q49" s="61"/>
      <c r="R49" s="61"/>
      <c r="S49" s="61"/>
      <c r="T49" s="61"/>
      <c r="U49" s="61"/>
    </row>
    <row r="50" spans="1:21" s="1" customFormat="1" ht="17.25" x14ac:dyDescent="0.2">
      <c r="A50" s="55" t="s">
        <v>24</v>
      </c>
      <c r="B50" s="9"/>
      <c r="C50" s="7"/>
      <c r="D50" s="7"/>
      <c r="E50" s="4"/>
      <c r="F50" s="4"/>
      <c r="G50" s="4"/>
      <c r="H50" s="54"/>
      <c r="I50" s="4"/>
      <c r="J50" s="9" t="s">
        <v>1</v>
      </c>
      <c r="K50" s="7"/>
      <c r="L50" s="7"/>
      <c r="M50" s="7"/>
      <c r="N50" s="69">
        <v>46</v>
      </c>
      <c r="O50" s="88"/>
      <c r="P50" s="88"/>
      <c r="Q50" s="61"/>
      <c r="R50" s="61"/>
      <c r="S50" s="61"/>
      <c r="T50" s="61"/>
      <c r="U50" s="61"/>
    </row>
    <row r="51" spans="1:21" s="2" customFormat="1" x14ac:dyDescent="0.15">
      <c r="A51" s="56"/>
      <c r="B51" s="56"/>
      <c r="C51" s="56"/>
      <c r="D51" s="56"/>
      <c r="E51" s="56"/>
      <c r="F51" s="56"/>
      <c r="G51" s="56"/>
      <c r="H51" s="56"/>
      <c r="I51" s="56"/>
      <c r="J51" s="56"/>
      <c r="K51" s="56"/>
      <c r="L51" s="56"/>
      <c r="M51" s="56"/>
      <c r="N51" s="69">
        <v>47</v>
      </c>
      <c r="O51" s="88"/>
      <c r="P51" s="88"/>
      <c r="Q51" s="61"/>
      <c r="R51" s="56"/>
      <c r="S51" s="61"/>
      <c r="T51" s="61"/>
      <c r="U51" s="56"/>
    </row>
    <row r="52" spans="1:21" x14ac:dyDescent="0.15">
      <c r="N52" s="69">
        <v>48</v>
      </c>
      <c r="S52" s="61"/>
    </row>
    <row r="53" spans="1:21" ht="21" x14ac:dyDescent="0.2">
      <c r="A53" s="6"/>
      <c r="B53" s="7"/>
      <c r="C53" s="7"/>
      <c r="E53" s="8" t="s">
        <v>155</v>
      </c>
      <c r="F53" s="7"/>
      <c r="G53" s="10" t="s">
        <v>4</v>
      </c>
      <c r="H53" s="11">
        <f>+H1</f>
        <v>26092302</v>
      </c>
      <c r="I53" s="92"/>
      <c r="N53" s="69">
        <v>49</v>
      </c>
      <c r="S53" s="61"/>
    </row>
    <row r="54" spans="1:21" x14ac:dyDescent="0.15">
      <c r="A54" s="12" t="s">
        <v>6</v>
      </c>
      <c r="B54" s="13">
        <f>+B2</f>
        <v>1</v>
      </c>
      <c r="C54" s="14"/>
      <c r="D54" s="14"/>
      <c r="E54" s="7"/>
      <c r="F54" s="7"/>
      <c r="G54" s="7"/>
      <c r="H54" s="7"/>
      <c r="I54" s="93">
        <f ca="1">+IF(OR(M54="当日",M54=0),TODAY(),M54)</f>
        <v>46300</v>
      </c>
      <c r="N54" s="69">
        <v>50</v>
      </c>
      <c r="S54" s="61"/>
    </row>
    <row r="55" spans="1:21" ht="21" x14ac:dyDescent="0.2">
      <c r="A55" s="47">
        <f>+A3</f>
        <v>0</v>
      </c>
      <c r="B55" s="13"/>
      <c r="C55" s="13"/>
      <c r="D55" s="13"/>
      <c r="E55" s="13"/>
      <c r="F55" s="15" t="s">
        <v>1</v>
      </c>
      <c r="G55" s="9"/>
      <c r="H55" s="7"/>
      <c r="I55" s="7"/>
      <c r="N55" s="69">
        <v>51</v>
      </c>
      <c r="S55" s="61"/>
    </row>
    <row r="56" spans="1:21" x14ac:dyDescent="0.15">
      <c r="A56" s="7"/>
      <c r="B56" s="7"/>
      <c r="C56" s="7"/>
      <c r="D56" s="7"/>
      <c r="E56" s="7"/>
      <c r="F56" s="7"/>
      <c r="G56" s="7" t="str">
        <f>+G27</f>
        <v xml:space="preserve"> 〒住所</v>
      </c>
      <c r="H56" s="7"/>
      <c r="I56" s="7"/>
      <c r="N56" s="69">
        <v>52</v>
      </c>
      <c r="S56" s="61">
        <v>11</v>
      </c>
      <c r="T56" s="61" t="s">
        <v>158</v>
      </c>
    </row>
    <row r="57" spans="1:21" ht="17.25" x14ac:dyDescent="0.2">
      <c r="A57" s="48" t="str">
        <f>+A5</f>
        <v>佐藤  様</v>
      </c>
      <c r="B57" s="13"/>
      <c r="C57" s="13"/>
      <c r="D57" s="13"/>
      <c r="E57" s="13"/>
      <c r="F57" s="7"/>
      <c r="G57" s="94" t="str">
        <f>+G28</f>
        <v xml:space="preserve">   TEL 電話番号</v>
      </c>
      <c r="H57" s="9"/>
      <c r="I57" s="7"/>
      <c r="N57" s="69">
        <v>53</v>
      </c>
      <c r="S57" s="61">
        <v>12</v>
      </c>
      <c r="T57" s="61" t="s">
        <v>159</v>
      </c>
    </row>
    <row r="58" spans="1:21" ht="14.25" customHeight="1" x14ac:dyDescent="0.15">
      <c r="A58" s="6"/>
      <c r="B58" s="6"/>
      <c r="C58" s="6"/>
      <c r="D58" s="6"/>
      <c r="E58" s="6"/>
      <c r="F58" s="6"/>
      <c r="G58" s="6"/>
      <c r="H58" s="131" t="str">
        <f>+H29</f>
        <v>代表者名</v>
      </c>
      <c r="I58" s="132"/>
      <c r="N58" s="69">
        <v>54</v>
      </c>
      <c r="S58" s="61">
        <v>13</v>
      </c>
      <c r="T58" s="61" t="s">
        <v>160</v>
      </c>
    </row>
    <row r="59" spans="1:21" ht="14.25" customHeight="1" x14ac:dyDescent="0.15">
      <c r="A59" s="6" t="s">
        <v>7</v>
      </c>
      <c r="B59" s="6"/>
      <c r="C59" s="6"/>
      <c r="D59" s="7"/>
      <c r="E59" s="7"/>
      <c r="F59" s="7"/>
      <c r="G59" s="7"/>
      <c r="H59" s="133"/>
      <c r="I59" s="133"/>
      <c r="N59" s="69">
        <v>55</v>
      </c>
      <c r="S59" s="61">
        <v>14</v>
      </c>
      <c r="T59" s="61" t="s">
        <v>161</v>
      </c>
    </row>
    <row r="60" spans="1:21" x14ac:dyDescent="0.15">
      <c r="A60" s="6" t="s">
        <v>8</v>
      </c>
      <c r="B60" s="6"/>
      <c r="C60" s="6"/>
      <c r="D60" s="7"/>
      <c r="E60" s="7"/>
      <c r="F60" s="7"/>
      <c r="G60" s="7"/>
      <c r="H60" s="6"/>
      <c r="I60" s="6"/>
      <c r="N60" s="69">
        <v>56</v>
      </c>
      <c r="S60" s="61">
        <v>15</v>
      </c>
      <c r="T60" s="61" t="s">
        <v>162</v>
      </c>
    </row>
    <row r="61" spans="1:21" ht="15" thickBot="1" x14ac:dyDescent="0.2">
      <c r="A61" s="16"/>
      <c r="B61" s="16"/>
      <c r="C61" s="16"/>
      <c r="D61" s="16"/>
      <c r="E61" s="16"/>
      <c r="F61" s="16"/>
      <c r="G61" s="16"/>
      <c r="H61" s="16"/>
      <c r="I61" s="16"/>
      <c r="N61" s="69">
        <v>57</v>
      </c>
      <c r="S61" s="61">
        <v>16</v>
      </c>
      <c r="T61" s="61" t="s">
        <v>171</v>
      </c>
    </row>
    <row r="62" spans="1:21" ht="15" thickBot="1" x14ac:dyDescent="0.2">
      <c r="A62" s="17"/>
      <c r="B62" s="18"/>
      <c r="C62" s="18"/>
      <c r="D62" s="18" t="s">
        <v>10</v>
      </c>
      <c r="E62" s="18"/>
      <c r="F62" s="19" t="s">
        <v>11</v>
      </c>
      <c r="G62" s="19" t="s">
        <v>12</v>
      </c>
      <c r="H62" s="19" t="s">
        <v>100</v>
      </c>
      <c r="I62" s="19" t="s">
        <v>163</v>
      </c>
      <c r="N62" s="69">
        <v>58</v>
      </c>
      <c r="S62" s="61">
        <v>17</v>
      </c>
    </row>
    <row r="63" spans="1:21" ht="15" thickTop="1" x14ac:dyDescent="0.15">
      <c r="A63" s="84"/>
      <c r="B63" s="20">
        <v>1</v>
      </c>
      <c r="C63" s="21"/>
      <c r="D63" s="90" t="str">
        <f>IFERROR(VLOOKUP(A63, S$5:T$99, 2, FALSE), "")</f>
        <v/>
      </c>
      <c r="E63" s="22"/>
      <c r="F63" s="23"/>
      <c r="G63" s="23"/>
      <c r="H63" s="24"/>
      <c r="I63" s="86"/>
      <c r="N63" s="69">
        <v>59</v>
      </c>
      <c r="S63" s="61">
        <v>18</v>
      </c>
    </row>
    <row r="64" spans="1:21" x14ac:dyDescent="0.15">
      <c r="A64" s="85"/>
      <c r="B64" s="25"/>
      <c r="C64" s="26"/>
      <c r="D64" s="26"/>
      <c r="E64" s="27"/>
      <c r="F64" s="28"/>
      <c r="G64" s="29"/>
      <c r="H64" s="30">
        <f>+F64*G64</f>
        <v>0</v>
      </c>
      <c r="I64" s="120"/>
      <c r="N64" s="69">
        <v>60</v>
      </c>
      <c r="S64" s="61">
        <v>19</v>
      </c>
    </row>
    <row r="65" spans="1:19" x14ac:dyDescent="0.15">
      <c r="A65" s="84"/>
      <c r="B65" s="20">
        <v>2</v>
      </c>
      <c r="C65" s="21"/>
      <c r="D65" s="90" t="str">
        <f>IFERROR(VLOOKUP(A65, S$5:T$99, 2, FALSE), "")</f>
        <v/>
      </c>
      <c r="E65" s="22"/>
      <c r="F65" s="23"/>
      <c r="G65" s="23"/>
      <c r="H65" s="24"/>
      <c r="I65" s="86"/>
      <c r="N65" s="69">
        <v>61</v>
      </c>
      <c r="S65" s="61">
        <v>20</v>
      </c>
    </row>
    <row r="66" spans="1:19" x14ac:dyDescent="0.15">
      <c r="A66" s="85"/>
      <c r="B66" s="25"/>
      <c r="C66" s="26"/>
      <c r="D66" s="26"/>
      <c r="E66" s="27"/>
      <c r="F66" s="28"/>
      <c r="G66" s="29"/>
      <c r="H66" s="30">
        <f>+F66*G66</f>
        <v>0</v>
      </c>
      <c r="I66" s="120"/>
      <c r="N66" s="69">
        <v>62</v>
      </c>
      <c r="S66" s="61">
        <v>21</v>
      </c>
    </row>
    <row r="67" spans="1:19" x14ac:dyDescent="0.15">
      <c r="A67" s="84"/>
      <c r="B67" s="20">
        <v>3</v>
      </c>
      <c r="C67" s="21"/>
      <c r="D67" s="90" t="str">
        <f>IFERROR(VLOOKUP(A67, S$5:T$99, 2, FALSE), "")</f>
        <v/>
      </c>
      <c r="E67" s="22"/>
      <c r="F67" s="23"/>
      <c r="G67" s="23"/>
      <c r="H67" s="24"/>
      <c r="I67" s="86"/>
      <c r="N67" s="69">
        <v>63</v>
      </c>
      <c r="S67" s="61">
        <v>22</v>
      </c>
    </row>
    <row r="68" spans="1:19" x14ac:dyDescent="0.15">
      <c r="A68" s="85"/>
      <c r="B68" s="25"/>
      <c r="C68" s="26"/>
      <c r="D68" s="26"/>
      <c r="E68" s="27"/>
      <c r="F68" s="28"/>
      <c r="G68" s="29"/>
      <c r="H68" s="30">
        <f>+F68*G68</f>
        <v>0</v>
      </c>
      <c r="I68" s="120"/>
      <c r="N68" s="69">
        <v>64</v>
      </c>
      <c r="S68" s="61">
        <v>23</v>
      </c>
    </row>
    <row r="69" spans="1:19" x14ac:dyDescent="0.15">
      <c r="A69" s="84"/>
      <c r="B69" s="20">
        <v>4</v>
      </c>
      <c r="C69" s="21"/>
      <c r="D69" s="90" t="str">
        <f>IFERROR(VLOOKUP(A69, S$5:T$99, 2, FALSE), "")</f>
        <v/>
      </c>
      <c r="E69" s="22"/>
      <c r="F69" s="23"/>
      <c r="G69" s="23"/>
      <c r="H69" s="24"/>
      <c r="I69" s="86"/>
      <c r="N69" s="69">
        <v>65</v>
      </c>
      <c r="S69" s="61">
        <v>24</v>
      </c>
    </row>
    <row r="70" spans="1:19" x14ac:dyDescent="0.15">
      <c r="A70" s="85"/>
      <c r="B70" s="25"/>
      <c r="C70" s="26"/>
      <c r="D70" s="26"/>
      <c r="E70" s="27"/>
      <c r="F70" s="28"/>
      <c r="G70" s="29"/>
      <c r="H70" s="30">
        <f>+F70*G70</f>
        <v>0</v>
      </c>
      <c r="I70" s="120"/>
      <c r="N70" s="69">
        <v>66</v>
      </c>
      <c r="S70" s="61">
        <v>25</v>
      </c>
    </row>
    <row r="71" spans="1:19" x14ac:dyDescent="0.15">
      <c r="A71" s="100"/>
      <c r="B71" s="101">
        <v>5</v>
      </c>
      <c r="C71" s="102"/>
      <c r="D71" s="103" t="str">
        <f>IFERROR(VLOOKUP(A71, S$5:T$99, 2, FALSE), "")</f>
        <v/>
      </c>
      <c r="E71" s="104"/>
      <c r="F71" s="105"/>
      <c r="G71" s="106"/>
      <c r="H71" s="24"/>
      <c r="I71" s="107"/>
      <c r="N71" s="69">
        <v>67</v>
      </c>
      <c r="S71" s="61">
        <v>26</v>
      </c>
    </row>
    <row r="72" spans="1:19" x14ac:dyDescent="0.15">
      <c r="A72" s="85"/>
      <c r="B72" s="25"/>
      <c r="C72" s="26"/>
      <c r="D72" s="26"/>
      <c r="E72" s="27"/>
      <c r="F72" s="28"/>
      <c r="G72" s="29"/>
      <c r="H72" s="30">
        <f>+F72*G72</f>
        <v>0</v>
      </c>
      <c r="I72" s="120"/>
      <c r="N72" s="69">
        <v>68</v>
      </c>
      <c r="S72" s="61">
        <v>27</v>
      </c>
    </row>
    <row r="73" spans="1:19" x14ac:dyDescent="0.15">
      <c r="A73" s="84"/>
      <c r="B73" s="20">
        <v>6</v>
      </c>
      <c r="C73" s="21"/>
      <c r="D73" s="90" t="str">
        <f>IFERROR(VLOOKUP(A73, S$5:T$99, 2, FALSE), "")</f>
        <v/>
      </c>
      <c r="E73" s="22"/>
      <c r="F73" s="23"/>
      <c r="G73" s="99"/>
      <c r="H73" s="24"/>
      <c r="I73" s="87"/>
      <c r="N73" s="69">
        <v>69</v>
      </c>
      <c r="S73" s="61">
        <v>28</v>
      </c>
    </row>
    <row r="74" spans="1:19" x14ac:dyDescent="0.15">
      <c r="A74" s="108"/>
      <c r="B74" s="109"/>
      <c r="C74" s="110"/>
      <c r="D74" s="110"/>
      <c r="E74" s="111"/>
      <c r="F74" s="112"/>
      <c r="G74" s="113"/>
      <c r="H74" s="30">
        <f>+F74*G74</f>
        <v>0</v>
      </c>
      <c r="I74" s="122"/>
      <c r="N74" s="69">
        <v>70</v>
      </c>
      <c r="S74" s="61">
        <v>29</v>
      </c>
    </row>
    <row r="75" spans="1:19" x14ac:dyDescent="0.15">
      <c r="A75" s="84"/>
      <c r="B75" s="20">
        <v>7</v>
      </c>
      <c r="C75" s="21"/>
      <c r="D75" s="90" t="str">
        <f>IFERROR(VLOOKUP(A75, S$5:T$99, 2, FALSE), "")</f>
        <v/>
      </c>
      <c r="E75" s="22"/>
      <c r="F75" s="23"/>
      <c r="G75" s="99"/>
      <c r="H75" s="24"/>
      <c r="I75" s="87"/>
      <c r="N75" s="69">
        <v>71</v>
      </c>
      <c r="S75" s="61">
        <v>30</v>
      </c>
    </row>
    <row r="76" spans="1:19" x14ac:dyDescent="0.15">
      <c r="A76" s="108"/>
      <c r="B76" s="109"/>
      <c r="C76" s="110"/>
      <c r="D76" s="110"/>
      <c r="E76" s="111"/>
      <c r="F76" s="112"/>
      <c r="G76" s="113"/>
      <c r="H76" s="30">
        <f>+F76*G76</f>
        <v>0</v>
      </c>
      <c r="I76" s="122"/>
      <c r="N76" s="69">
        <v>72</v>
      </c>
      <c r="S76" s="61">
        <v>31</v>
      </c>
    </row>
    <row r="77" spans="1:19" x14ac:dyDescent="0.15">
      <c r="A77" s="84"/>
      <c r="B77" s="20">
        <v>8</v>
      </c>
      <c r="C77" s="21"/>
      <c r="D77" s="90" t="str">
        <f>IFERROR(VLOOKUP(A77, S$5:T$99, 2, FALSE), "")</f>
        <v/>
      </c>
      <c r="E77" s="22"/>
      <c r="F77" s="23"/>
      <c r="G77" s="99"/>
      <c r="H77" s="24"/>
      <c r="I77" s="87"/>
      <c r="N77" s="69">
        <v>73</v>
      </c>
      <c r="S77" s="61">
        <v>32</v>
      </c>
    </row>
    <row r="78" spans="1:19" x14ac:dyDescent="0.15">
      <c r="A78" s="108"/>
      <c r="B78" s="109"/>
      <c r="C78" s="110"/>
      <c r="D78" s="110"/>
      <c r="E78" s="111"/>
      <c r="F78" s="112"/>
      <c r="G78" s="113"/>
      <c r="H78" s="30">
        <f>+F78*G78</f>
        <v>0</v>
      </c>
      <c r="I78" s="122"/>
      <c r="N78" s="69">
        <v>74</v>
      </c>
      <c r="S78" s="61">
        <v>33</v>
      </c>
    </row>
    <row r="79" spans="1:19" x14ac:dyDescent="0.15">
      <c r="A79" s="84"/>
      <c r="B79" s="20">
        <v>9</v>
      </c>
      <c r="C79" s="21"/>
      <c r="D79" s="90" t="str">
        <f>IFERROR(VLOOKUP(A79, S$5:T$99, 2, FALSE), "")</f>
        <v/>
      </c>
      <c r="E79" s="22"/>
      <c r="F79" s="23"/>
      <c r="G79" s="99"/>
      <c r="H79" s="24"/>
      <c r="I79" s="87"/>
      <c r="N79" s="69">
        <v>75</v>
      </c>
      <c r="S79" s="61">
        <v>34</v>
      </c>
    </row>
    <row r="80" spans="1:19" x14ac:dyDescent="0.15">
      <c r="A80" s="108"/>
      <c r="B80" s="109"/>
      <c r="C80" s="110"/>
      <c r="D80" s="110"/>
      <c r="E80" s="111"/>
      <c r="F80" s="112"/>
      <c r="G80" s="113"/>
      <c r="H80" s="30">
        <f>+F80*G80</f>
        <v>0</v>
      </c>
      <c r="I80" s="122"/>
      <c r="N80" s="69">
        <v>76</v>
      </c>
      <c r="S80" s="61">
        <v>35</v>
      </c>
    </row>
    <row r="81" spans="1:19" x14ac:dyDescent="0.15">
      <c r="A81" s="84"/>
      <c r="B81" s="20">
        <v>10</v>
      </c>
      <c r="C81" s="21"/>
      <c r="D81" s="90" t="str">
        <f>IFERROR(VLOOKUP(A81, S$5:T$99, 2, FALSE), "")</f>
        <v/>
      </c>
      <c r="E81" s="22"/>
      <c r="F81" s="23"/>
      <c r="G81" s="99"/>
      <c r="H81" s="24"/>
      <c r="I81" s="87"/>
      <c r="N81" s="69">
        <v>77</v>
      </c>
      <c r="S81" s="61">
        <v>36</v>
      </c>
    </row>
    <row r="82" spans="1:19" x14ac:dyDescent="0.15">
      <c r="A82" s="108"/>
      <c r="B82" s="109"/>
      <c r="C82" s="110"/>
      <c r="D82" s="110"/>
      <c r="E82" s="111"/>
      <c r="F82" s="112"/>
      <c r="G82" s="113"/>
      <c r="H82" s="30">
        <f>+F82*G82</f>
        <v>0</v>
      </c>
      <c r="I82" s="122"/>
      <c r="N82" s="69">
        <v>78</v>
      </c>
      <c r="S82" s="61">
        <v>37</v>
      </c>
    </row>
    <row r="83" spans="1:19" x14ac:dyDescent="0.15">
      <c r="A83" s="84"/>
      <c r="B83" s="20">
        <v>11</v>
      </c>
      <c r="C83" s="21"/>
      <c r="D83" s="90" t="str">
        <f>IFERROR(VLOOKUP(A83, S$5:T$99, 2, FALSE), "")</f>
        <v/>
      </c>
      <c r="E83" s="22"/>
      <c r="F83" s="23"/>
      <c r="G83" s="99"/>
      <c r="H83" s="24"/>
      <c r="I83" s="87"/>
      <c r="N83" s="69">
        <v>79</v>
      </c>
      <c r="S83" s="61">
        <v>38</v>
      </c>
    </row>
    <row r="84" spans="1:19" x14ac:dyDescent="0.15">
      <c r="A84" s="108"/>
      <c r="B84" s="109"/>
      <c r="C84" s="110"/>
      <c r="D84" s="110"/>
      <c r="E84" s="111"/>
      <c r="F84" s="112"/>
      <c r="G84" s="113"/>
      <c r="H84" s="30">
        <f>+F84*G84</f>
        <v>0</v>
      </c>
      <c r="I84" s="122"/>
      <c r="N84" s="69">
        <v>80</v>
      </c>
      <c r="S84" s="61">
        <v>39</v>
      </c>
    </row>
    <row r="85" spans="1:19" x14ac:dyDescent="0.15">
      <c r="A85" s="84"/>
      <c r="B85" s="20">
        <v>12</v>
      </c>
      <c r="C85" s="21"/>
      <c r="D85" s="90" t="str">
        <f>IFERROR(VLOOKUP(A85, S$5:T$99, 2, FALSE), "")</f>
        <v/>
      </c>
      <c r="E85" s="22"/>
      <c r="F85" s="23"/>
      <c r="G85" s="99"/>
      <c r="H85" s="24"/>
      <c r="I85" s="87"/>
      <c r="N85" s="69">
        <v>81</v>
      </c>
      <c r="S85" s="61">
        <v>40</v>
      </c>
    </row>
    <row r="86" spans="1:19" x14ac:dyDescent="0.15">
      <c r="A86" s="108"/>
      <c r="B86" s="109"/>
      <c r="C86" s="110"/>
      <c r="D86" s="110"/>
      <c r="E86" s="111"/>
      <c r="F86" s="112"/>
      <c r="G86" s="113"/>
      <c r="H86" s="30">
        <f>+F86*G86</f>
        <v>0</v>
      </c>
      <c r="I86" s="122"/>
      <c r="N86" s="69">
        <v>82</v>
      </c>
      <c r="S86" s="61">
        <v>41</v>
      </c>
    </row>
    <row r="87" spans="1:19" x14ac:dyDescent="0.15">
      <c r="A87" s="84"/>
      <c r="B87" s="20">
        <v>13</v>
      </c>
      <c r="C87" s="21"/>
      <c r="D87" s="90" t="str">
        <f>IFERROR(VLOOKUP(A87, S$5:T$99, 2, FALSE), "")</f>
        <v/>
      </c>
      <c r="E87" s="22"/>
      <c r="F87" s="23"/>
      <c r="G87" s="99"/>
      <c r="H87" s="24"/>
      <c r="I87" s="87"/>
      <c r="N87" s="69">
        <v>83</v>
      </c>
      <c r="S87" s="61">
        <v>42</v>
      </c>
    </row>
    <row r="88" spans="1:19" x14ac:dyDescent="0.15">
      <c r="A88" s="108"/>
      <c r="B88" s="109"/>
      <c r="C88" s="110"/>
      <c r="D88" s="110"/>
      <c r="E88" s="111"/>
      <c r="F88" s="112"/>
      <c r="G88" s="113"/>
      <c r="H88" s="30">
        <f>+F88*G88</f>
        <v>0</v>
      </c>
      <c r="I88" s="122"/>
      <c r="N88" s="69">
        <v>84</v>
      </c>
      <c r="S88" s="61">
        <v>43</v>
      </c>
    </row>
    <row r="89" spans="1:19" x14ac:dyDescent="0.15">
      <c r="A89" s="84"/>
      <c r="B89" s="20">
        <v>14</v>
      </c>
      <c r="C89" s="21"/>
      <c r="D89" s="90" t="str">
        <f>IFERROR(VLOOKUP(A89, S$5:T$99, 2, FALSE), "")</f>
        <v/>
      </c>
      <c r="E89" s="22"/>
      <c r="F89" s="23"/>
      <c r="G89" s="99"/>
      <c r="H89" s="24"/>
      <c r="I89" s="87"/>
      <c r="N89" s="69">
        <v>85</v>
      </c>
      <c r="S89" s="61">
        <v>44</v>
      </c>
    </row>
    <row r="90" spans="1:19" x14ac:dyDescent="0.15">
      <c r="A90" s="108"/>
      <c r="B90" s="109"/>
      <c r="C90" s="110"/>
      <c r="D90" s="110"/>
      <c r="E90" s="111"/>
      <c r="F90" s="112"/>
      <c r="G90" s="113"/>
      <c r="H90" s="30">
        <f>+F90*G90</f>
        <v>0</v>
      </c>
      <c r="I90" s="122"/>
      <c r="N90" s="69">
        <v>86</v>
      </c>
      <c r="S90" s="61">
        <v>45</v>
      </c>
    </row>
    <row r="91" spans="1:19" x14ac:dyDescent="0.15">
      <c r="A91" s="84"/>
      <c r="B91" s="20">
        <v>15</v>
      </c>
      <c r="C91" s="21"/>
      <c r="D91" s="90" t="str">
        <f>IFERROR(VLOOKUP(A91, S$5:T$99, 2, FALSE), "")</f>
        <v/>
      </c>
      <c r="E91" s="22"/>
      <c r="F91" s="23"/>
      <c r="G91" s="99"/>
      <c r="H91" s="24"/>
      <c r="I91" s="87"/>
      <c r="N91" s="69">
        <v>87</v>
      </c>
      <c r="S91" s="61">
        <v>46</v>
      </c>
    </row>
    <row r="92" spans="1:19" ht="15" thickBot="1" x14ac:dyDescent="0.2">
      <c r="A92" s="108"/>
      <c r="B92" s="109"/>
      <c r="C92" s="115"/>
      <c r="D92" s="110" t="str">
        <f>IFERROR(VLOOKUP(A92, S$5:T$26, 2, FALSE), "")</f>
        <v/>
      </c>
      <c r="E92" s="116"/>
      <c r="F92" s="114"/>
      <c r="G92" s="114"/>
      <c r="H92" s="30">
        <f>+F92*G92</f>
        <v>0</v>
      </c>
      <c r="I92" s="121"/>
      <c r="N92" s="69">
        <v>88</v>
      </c>
      <c r="S92" s="61">
        <v>47</v>
      </c>
    </row>
    <row r="93" spans="1:19" ht="18" thickBot="1" x14ac:dyDescent="0.2">
      <c r="A93" s="35"/>
      <c r="B93" s="36"/>
      <c r="C93" s="36"/>
      <c r="D93" s="36" t="s">
        <v>101</v>
      </c>
      <c r="E93" s="36"/>
      <c r="F93" s="37"/>
      <c r="G93" s="38"/>
      <c r="H93" s="39">
        <f>+SUM(H63:H92)</f>
        <v>0</v>
      </c>
      <c r="I93" s="37"/>
      <c r="N93" s="69">
        <v>90</v>
      </c>
      <c r="S93" s="61">
        <v>48</v>
      </c>
    </row>
    <row r="94" spans="1:19" ht="18" thickBot="1" x14ac:dyDescent="0.2">
      <c r="A94" s="7"/>
      <c r="B94" s="7"/>
      <c r="C94" s="7"/>
      <c r="D94" s="7"/>
      <c r="E94" s="40"/>
      <c r="F94" s="41" t="s">
        <v>16</v>
      </c>
      <c r="G94" s="34"/>
      <c r="H94" s="41" t="s">
        <v>156</v>
      </c>
      <c r="I94" s="64">
        <f>H93+G94</f>
        <v>0</v>
      </c>
      <c r="N94" s="69">
        <v>91</v>
      </c>
      <c r="S94" s="61">
        <v>49</v>
      </c>
    </row>
    <row r="95" spans="1:19" ht="18.75" x14ac:dyDescent="0.2">
      <c r="A95" s="42"/>
      <c r="B95" s="42"/>
      <c r="C95" s="42"/>
      <c r="D95" s="42"/>
      <c r="E95" s="42"/>
      <c r="F95" s="42"/>
      <c r="G95" s="42"/>
      <c r="H95" s="42"/>
      <c r="I95" s="42"/>
      <c r="N95" s="69">
        <v>92</v>
      </c>
      <c r="S95" s="61">
        <v>50</v>
      </c>
    </row>
    <row r="96" spans="1:19" x14ac:dyDescent="0.15">
      <c r="N96" s="69">
        <v>93</v>
      </c>
      <c r="S96" s="61">
        <v>51</v>
      </c>
    </row>
    <row r="97" spans="14:19" x14ac:dyDescent="0.15">
      <c r="N97" s="69">
        <v>94</v>
      </c>
      <c r="S97" s="61">
        <v>52</v>
      </c>
    </row>
    <row r="98" spans="14:19" x14ac:dyDescent="0.15">
      <c r="N98" s="69">
        <v>95</v>
      </c>
      <c r="S98" s="61">
        <v>53</v>
      </c>
    </row>
    <row r="99" spans="14:19" x14ac:dyDescent="0.15">
      <c r="N99" s="69">
        <v>96</v>
      </c>
      <c r="S99" s="61">
        <v>54</v>
      </c>
    </row>
    <row r="100" spans="14:19" x14ac:dyDescent="0.15">
      <c r="N100" s="69">
        <v>97</v>
      </c>
      <c r="S100" s="61">
        <v>55</v>
      </c>
    </row>
    <row r="101" spans="14:19" x14ac:dyDescent="0.15">
      <c r="N101" s="69">
        <v>98</v>
      </c>
      <c r="S101" s="61">
        <v>56</v>
      </c>
    </row>
    <row r="102" spans="14:19" x14ac:dyDescent="0.15">
      <c r="N102" s="69">
        <v>99</v>
      </c>
      <c r="S102" s="61">
        <v>57</v>
      </c>
    </row>
    <row r="103" spans="14:19" x14ac:dyDescent="0.15">
      <c r="S103" s="61">
        <v>58</v>
      </c>
    </row>
    <row r="104" spans="14:19" x14ac:dyDescent="0.15">
      <c r="S104" s="61">
        <v>59</v>
      </c>
    </row>
    <row r="105" spans="14:19" x14ac:dyDescent="0.15">
      <c r="S105" s="61">
        <v>60</v>
      </c>
    </row>
    <row r="106" spans="14:19" x14ac:dyDescent="0.15">
      <c r="S106" s="61">
        <v>61</v>
      </c>
    </row>
    <row r="107" spans="14:19" x14ac:dyDescent="0.15">
      <c r="S107" s="61">
        <v>62</v>
      </c>
    </row>
    <row r="108" spans="14:19" x14ac:dyDescent="0.15">
      <c r="S108" s="61">
        <v>63</v>
      </c>
    </row>
    <row r="109" spans="14:19" x14ac:dyDescent="0.15">
      <c r="S109" s="61">
        <v>64</v>
      </c>
    </row>
    <row r="110" spans="14:19" x14ac:dyDescent="0.15">
      <c r="S110" s="61">
        <v>65</v>
      </c>
    </row>
    <row r="111" spans="14:19" x14ac:dyDescent="0.15">
      <c r="S111" s="61">
        <v>66</v>
      </c>
    </row>
    <row r="112" spans="14:19" x14ac:dyDescent="0.15">
      <c r="S112" s="61">
        <v>67</v>
      </c>
    </row>
    <row r="113" spans="19:19" x14ac:dyDescent="0.15">
      <c r="S113" s="61">
        <v>68</v>
      </c>
    </row>
    <row r="114" spans="19:19" x14ac:dyDescent="0.15">
      <c r="S114" s="61">
        <v>69</v>
      </c>
    </row>
    <row r="115" spans="19:19" x14ac:dyDescent="0.15">
      <c r="S115" s="61">
        <v>70</v>
      </c>
    </row>
    <row r="116" spans="19:19" x14ac:dyDescent="0.15">
      <c r="S116" s="61">
        <v>71</v>
      </c>
    </row>
    <row r="117" spans="19:19" x14ac:dyDescent="0.15">
      <c r="S117" s="61">
        <v>72</v>
      </c>
    </row>
    <row r="118" spans="19:19" x14ac:dyDescent="0.15">
      <c r="S118" s="61">
        <v>73</v>
      </c>
    </row>
    <row r="119" spans="19:19" x14ac:dyDescent="0.15">
      <c r="S119" s="61">
        <v>74</v>
      </c>
    </row>
    <row r="120" spans="19:19" x14ac:dyDescent="0.15">
      <c r="S120" s="61">
        <v>75</v>
      </c>
    </row>
    <row r="121" spans="19:19" x14ac:dyDescent="0.15">
      <c r="S121" s="61">
        <v>76</v>
      </c>
    </row>
    <row r="122" spans="19:19" x14ac:dyDescent="0.15">
      <c r="S122" s="61">
        <v>77</v>
      </c>
    </row>
    <row r="123" spans="19:19" x14ac:dyDescent="0.15">
      <c r="S123" s="61">
        <v>78</v>
      </c>
    </row>
    <row r="124" spans="19:19" x14ac:dyDescent="0.15">
      <c r="S124" s="61">
        <v>79</v>
      </c>
    </row>
    <row r="125" spans="19:19" x14ac:dyDescent="0.15">
      <c r="S125" s="61">
        <v>80</v>
      </c>
    </row>
    <row r="126" spans="19:19" x14ac:dyDescent="0.15">
      <c r="S126" s="61">
        <v>81</v>
      </c>
    </row>
    <row r="127" spans="19:19" x14ac:dyDescent="0.15">
      <c r="S127" s="61">
        <v>82</v>
      </c>
    </row>
    <row r="128" spans="19:19" x14ac:dyDescent="0.15">
      <c r="S128" s="61">
        <v>83</v>
      </c>
    </row>
    <row r="129" spans="19:19" x14ac:dyDescent="0.15">
      <c r="S129" s="61">
        <v>84</v>
      </c>
    </row>
    <row r="130" spans="19:19" x14ac:dyDescent="0.15">
      <c r="S130" s="61">
        <v>85</v>
      </c>
    </row>
    <row r="131" spans="19:19" x14ac:dyDescent="0.15">
      <c r="S131" s="61">
        <v>86</v>
      </c>
    </row>
    <row r="132" spans="19:19" x14ac:dyDescent="0.15">
      <c r="S132" s="61">
        <v>87</v>
      </c>
    </row>
    <row r="133" spans="19:19" x14ac:dyDescent="0.15">
      <c r="S133" s="61">
        <v>88</v>
      </c>
    </row>
    <row r="134" spans="19:19" x14ac:dyDescent="0.15">
      <c r="S134" s="61">
        <v>89</v>
      </c>
    </row>
    <row r="135" spans="19:19" x14ac:dyDescent="0.15">
      <c r="S135" s="61">
        <v>90</v>
      </c>
    </row>
    <row r="136" spans="19:19" x14ac:dyDescent="0.15">
      <c r="S136" s="61">
        <v>91</v>
      </c>
    </row>
    <row r="137" spans="19:19" x14ac:dyDescent="0.15">
      <c r="S137" s="61">
        <v>92</v>
      </c>
    </row>
    <row r="138" spans="19:19" x14ac:dyDescent="0.15">
      <c r="S138" s="61">
        <v>93</v>
      </c>
    </row>
    <row r="139" spans="19:19" x14ac:dyDescent="0.15">
      <c r="S139" s="61">
        <v>94</v>
      </c>
    </row>
    <row r="140" spans="19:19" x14ac:dyDescent="0.15">
      <c r="S140" s="61">
        <v>95</v>
      </c>
    </row>
    <row r="141" spans="19:19" x14ac:dyDescent="0.15">
      <c r="S141" s="61">
        <v>96</v>
      </c>
    </row>
    <row r="142" spans="19:19" x14ac:dyDescent="0.15">
      <c r="S142" s="61">
        <v>97</v>
      </c>
    </row>
    <row r="143" spans="19:19" x14ac:dyDescent="0.15">
      <c r="S143" s="61">
        <v>98</v>
      </c>
    </row>
    <row r="144" spans="19:19" x14ac:dyDescent="0.15">
      <c r="S144" s="61">
        <v>99</v>
      </c>
    </row>
    <row r="145" spans="19:19" x14ac:dyDescent="0.15">
      <c r="S145" s="61">
        <v>100</v>
      </c>
    </row>
    <row r="146" spans="19:19" x14ac:dyDescent="0.15">
      <c r="S146" s="61">
        <v>101</v>
      </c>
    </row>
    <row r="147" spans="19:19" x14ac:dyDescent="0.15">
      <c r="S147" s="61">
        <v>102</v>
      </c>
    </row>
  </sheetData>
  <sheetProtection algorithmName="SHA-512" hashValue="ipNxOddZ8/5XXZ8RXb60EKF+M34CLVSvM+0fpIY0mHIgmn8IxUhcm9p3wQ7GVgcTcf6I+nyF/p08L2CMlihdrw==" saltValue="mfjkSUh0sfacDVGT2bF/nw==" spinCount="100000" sheet="1" formatCells="0" formatColumns="0" formatRows="0" insertColumns="0" insertRows="0" insertHyperlinks="0" deleteColumns="0" deleteRows="0" sort="0" autoFilter="0" pivotTables="0"/>
  <mergeCells count="3">
    <mergeCell ref="H6:I7"/>
    <mergeCell ref="H29:I30"/>
    <mergeCell ref="H58:I59"/>
  </mergeCells>
  <phoneticPr fontId="2"/>
  <printOptions horizontalCentered="1"/>
  <pageMargins left="0.39370078740157499" right="0.39370078740157499" top="0.47244094488188998" bottom="0.23622047244094499" header="0.511811023622047" footer="0.511811023622047"/>
  <pageSetup paperSize="9" fitToHeight="2" orientation="portrait" r:id="rId1"/>
  <headerFooter alignWithMargins="0"/>
  <rowBreaks count="3" manualBreakCount="3">
    <brk id="52" max="8" man="1"/>
    <brk id="72" max="8" man="1"/>
    <brk id="73" max="8" man="1"/>
  </rowBreaks>
  <colBreaks count="1" manualBreakCount="1">
    <brk id="9" max="1048575" man="1"/>
  </colBreaks>
  <ignoredErrors>
    <ignoredError sqref="A34:I34 E11:H11 D18:E18 E17 D20:H20 E19:M19 D17 D19 A3:A5 D13:M13 D12:E12 H12 D15:M15 D14:E14 H14 D16:E16 H16 H18:M18 D21:E21 G21:M21 A36:I36 A35:H35 A44:I45 A42:H43 J16:M16 J14:M14 J12:L12 J20:M20 J11:L11 G17:M17 A38:I41 A37:F37 H37:I3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91">
              <controlPr defaultSize="0" print="0" autoPict="0" macro="[0]!pdf印刷3_Click" altText="PDF印刷">
                <anchor moveWithCells="1" sizeWithCells="1">
                  <from>
                    <xdr:col>11</xdr:col>
                    <xdr:colOff>152400</xdr:colOff>
                    <xdr:row>5</xdr:row>
                    <xdr:rowOff>95250</xdr:rowOff>
                  </from>
                  <to>
                    <xdr:col>13</xdr:col>
                    <xdr:colOff>66675</xdr:colOff>
                    <xdr:row>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62953-5297-466F-B5FF-38116E0560C8}">
  <sheetPr codeName="Sheet8"/>
  <dimension ref="A1"/>
  <sheetViews>
    <sheetView workbookViewId="0">
      <selection activeCell="E11" sqref="E11"/>
    </sheetView>
  </sheetViews>
  <sheetFormatPr defaultRowHeight="14.25" x14ac:dyDescent="0.15"/>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45B5A-9948-46E0-9404-B7EF9817F743}">
  <sheetPr codeName="Sheet4"/>
  <dimension ref="A1:M141"/>
  <sheetViews>
    <sheetView topLeftCell="B1" workbookViewId="0">
      <pane ySplit="1" topLeftCell="A56" activePane="bottomLeft" state="frozen"/>
      <selection pane="bottomLeft" activeCell="I14" sqref="I14"/>
    </sheetView>
  </sheetViews>
  <sheetFormatPr defaultRowHeight="14.25" x14ac:dyDescent="0.15"/>
  <cols>
    <col min="1" max="1" width="4.875" style="118" customWidth="1"/>
    <col min="2" max="2" width="11.625" style="119" bestFit="1" customWidth="1"/>
    <col min="3" max="3" width="11.625" style="118" bestFit="1" customWidth="1"/>
    <col min="4" max="4" width="9" style="118"/>
    <col min="5" max="5" width="10.5" style="118" bestFit="1" customWidth="1"/>
    <col min="6" max="6" width="42.25" style="118" customWidth="1"/>
    <col min="7" max="7" width="17.25" style="118" bestFit="1" customWidth="1"/>
    <col min="8" max="8" width="9.5" style="118" bestFit="1" customWidth="1"/>
    <col min="9" max="9" width="9" style="118"/>
    <col min="11" max="11" width="19" customWidth="1"/>
  </cols>
  <sheetData>
    <row r="1" spans="1:13" ht="30.75" customHeight="1" x14ac:dyDescent="0.15">
      <c r="A1" s="127" t="s">
        <v>69</v>
      </c>
      <c r="B1" s="128" t="s">
        <v>29</v>
      </c>
      <c r="C1" s="127" t="s">
        <v>31</v>
      </c>
      <c r="D1" s="127" t="s">
        <v>32</v>
      </c>
      <c r="E1" s="127" t="s">
        <v>30</v>
      </c>
      <c r="F1" s="127" t="s">
        <v>34</v>
      </c>
      <c r="G1" s="127" t="s">
        <v>33</v>
      </c>
      <c r="H1" s="127" t="s">
        <v>70</v>
      </c>
      <c r="I1" s="127" t="s">
        <v>157</v>
      </c>
    </row>
    <row r="2" spans="1:13" x14ac:dyDescent="0.15">
      <c r="A2" s="118">
        <v>1</v>
      </c>
      <c r="B2" s="119">
        <v>46029</v>
      </c>
      <c r="C2" s="118" t="s">
        <v>99</v>
      </c>
      <c r="D2" s="118">
        <v>9600</v>
      </c>
      <c r="F2" s="118" t="s">
        <v>223</v>
      </c>
      <c r="H2" s="118">
        <v>26010701</v>
      </c>
      <c r="I2" s="118">
        <v>24</v>
      </c>
    </row>
    <row r="3" spans="1:13" x14ac:dyDescent="0.15">
      <c r="A3" s="118">
        <v>2</v>
      </c>
      <c r="B3" s="119">
        <v>46030</v>
      </c>
      <c r="C3" s="118" t="s">
        <v>99</v>
      </c>
      <c r="D3" s="118">
        <v>9600</v>
      </c>
      <c r="F3" s="118" t="s">
        <v>226</v>
      </c>
      <c r="H3" s="118">
        <v>26010801</v>
      </c>
      <c r="I3" s="118">
        <v>24</v>
      </c>
      <c r="K3" s="70" t="s">
        <v>182</v>
      </c>
      <c r="L3">
        <v>3240</v>
      </c>
    </row>
    <row r="4" spans="1:13" x14ac:dyDescent="0.15">
      <c r="A4" s="118">
        <v>3</v>
      </c>
      <c r="B4" s="119">
        <v>46030</v>
      </c>
      <c r="C4" s="118" t="s">
        <v>99</v>
      </c>
      <c r="D4" s="118">
        <v>9600</v>
      </c>
      <c r="F4" s="118" t="s">
        <v>226</v>
      </c>
      <c r="H4" s="118">
        <v>26010801</v>
      </c>
      <c r="I4" s="118">
        <v>24</v>
      </c>
      <c r="K4" s="70" t="s">
        <v>183</v>
      </c>
    </row>
    <row r="5" spans="1:13" x14ac:dyDescent="0.15">
      <c r="A5" s="118">
        <v>4</v>
      </c>
      <c r="B5" s="119">
        <v>46035</v>
      </c>
      <c r="C5" s="118" t="s">
        <v>99</v>
      </c>
      <c r="D5" s="118">
        <v>7500</v>
      </c>
      <c r="F5" s="117" t="s">
        <v>125</v>
      </c>
      <c r="I5" s="118">
        <v>12</v>
      </c>
      <c r="K5" s="70" t="s">
        <v>184</v>
      </c>
      <c r="L5">
        <f>+SUM(I:I)</f>
        <v>2268</v>
      </c>
    </row>
    <row r="6" spans="1:13" x14ac:dyDescent="0.15">
      <c r="A6" s="118">
        <v>5</v>
      </c>
      <c r="B6" s="119">
        <v>46035</v>
      </c>
      <c r="C6" s="118" t="s">
        <v>99</v>
      </c>
      <c r="D6" s="118">
        <v>6600</v>
      </c>
      <c r="F6" s="118" t="s">
        <v>118</v>
      </c>
      <c r="I6" s="118">
        <v>12</v>
      </c>
      <c r="K6" s="70" t="s">
        <v>185</v>
      </c>
    </row>
    <row r="7" spans="1:13" x14ac:dyDescent="0.15">
      <c r="A7" s="118">
        <v>6</v>
      </c>
      <c r="B7" s="119">
        <v>46039</v>
      </c>
      <c r="C7" s="118" t="s">
        <v>99</v>
      </c>
      <c r="D7" s="118">
        <v>7700</v>
      </c>
      <c r="F7" s="118" t="s">
        <v>119</v>
      </c>
      <c r="I7" s="118">
        <v>12</v>
      </c>
      <c r="K7" s="70" t="s">
        <v>186</v>
      </c>
      <c r="L7">
        <f>+L3+L4-L5-L6</f>
        <v>972</v>
      </c>
    </row>
    <row r="8" spans="1:13" x14ac:dyDescent="0.15">
      <c r="A8" s="118">
        <v>7</v>
      </c>
      <c r="B8" s="119">
        <v>46041</v>
      </c>
      <c r="C8" s="118" t="s">
        <v>135</v>
      </c>
      <c r="D8" s="118">
        <f>17696*0.5</f>
        <v>8848</v>
      </c>
      <c r="F8" s="117" t="s">
        <v>143</v>
      </c>
    </row>
    <row r="9" spans="1:13" x14ac:dyDescent="0.15">
      <c r="A9" s="118">
        <v>8</v>
      </c>
      <c r="B9" s="119">
        <v>46041</v>
      </c>
      <c r="C9" s="118" t="s">
        <v>135</v>
      </c>
      <c r="D9" s="118">
        <v>2335</v>
      </c>
      <c r="F9" s="118" t="s">
        <v>136</v>
      </c>
      <c r="K9" s="70" t="s">
        <v>187</v>
      </c>
      <c r="L9">
        <f>+L3/60*11200</f>
        <v>604800</v>
      </c>
    </row>
    <row r="10" spans="1:13" x14ac:dyDescent="0.15">
      <c r="A10" s="118">
        <v>9</v>
      </c>
      <c r="B10" s="119">
        <v>46044</v>
      </c>
      <c r="C10" s="118" t="s">
        <v>99</v>
      </c>
      <c r="D10" s="118">
        <v>11800</v>
      </c>
      <c r="F10" s="118" t="s">
        <v>120</v>
      </c>
      <c r="I10" s="118">
        <v>24</v>
      </c>
      <c r="K10" s="70" t="s">
        <v>188</v>
      </c>
      <c r="L10">
        <f>+L7/60*11200</f>
        <v>181440</v>
      </c>
    </row>
    <row r="11" spans="1:13" x14ac:dyDescent="0.15">
      <c r="A11" s="118">
        <v>10</v>
      </c>
      <c r="B11" s="119">
        <v>46044</v>
      </c>
      <c r="C11" s="118" t="s">
        <v>99</v>
      </c>
      <c r="D11" s="118">
        <v>9900</v>
      </c>
      <c r="F11" s="118" t="s">
        <v>228</v>
      </c>
      <c r="H11" s="118">
        <v>26012201</v>
      </c>
      <c r="I11" s="118">
        <v>24</v>
      </c>
    </row>
    <row r="12" spans="1:13" x14ac:dyDescent="0.15">
      <c r="A12" s="118">
        <v>11</v>
      </c>
      <c r="B12" s="119">
        <v>46049</v>
      </c>
      <c r="C12" s="118" t="s">
        <v>99</v>
      </c>
      <c r="D12" s="118">
        <v>9600</v>
      </c>
      <c r="F12" s="118" t="s">
        <v>223</v>
      </c>
      <c r="H12" s="118">
        <v>26012701</v>
      </c>
      <c r="I12" s="118">
        <v>24</v>
      </c>
      <c r="K12" s="70" t="s">
        <v>189</v>
      </c>
      <c r="L12" s="70">
        <f>388*0.7</f>
        <v>271.59999999999997</v>
      </c>
    </row>
    <row r="13" spans="1:13" x14ac:dyDescent="0.15">
      <c r="A13" s="118">
        <v>12</v>
      </c>
      <c r="B13" s="119">
        <v>46050</v>
      </c>
      <c r="C13" s="118" t="s">
        <v>99</v>
      </c>
      <c r="D13" s="118">
        <v>11800</v>
      </c>
      <c r="F13" s="118" t="s">
        <v>121</v>
      </c>
      <c r="I13" s="118">
        <v>24</v>
      </c>
    </row>
    <row r="14" spans="1:13" x14ac:dyDescent="0.15">
      <c r="A14" s="118">
        <v>13</v>
      </c>
      <c r="B14" s="119">
        <v>46053</v>
      </c>
      <c r="C14" s="118" t="s">
        <v>127</v>
      </c>
      <c r="D14" s="118">
        <v>16940</v>
      </c>
      <c r="F14" s="118" t="s">
        <v>128</v>
      </c>
      <c r="K14" s="70" t="s">
        <v>195</v>
      </c>
      <c r="L14">
        <v>130</v>
      </c>
      <c r="M14" s="70" t="s">
        <v>197</v>
      </c>
    </row>
    <row r="15" spans="1:13" x14ac:dyDescent="0.15">
      <c r="A15" s="118">
        <v>14</v>
      </c>
      <c r="B15" s="119">
        <v>46053</v>
      </c>
      <c r="C15" s="118" t="s">
        <v>208</v>
      </c>
      <c r="D15" s="118">
        <v>2287</v>
      </c>
      <c r="F15" s="118" t="s">
        <v>209</v>
      </c>
      <c r="K15" s="70" t="s">
        <v>196</v>
      </c>
      <c r="L15">
        <v>6</v>
      </c>
      <c r="M15" s="70" t="s">
        <v>197</v>
      </c>
    </row>
    <row r="16" spans="1:13" x14ac:dyDescent="0.15">
      <c r="A16" s="118">
        <v>15</v>
      </c>
      <c r="B16" s="119">
        <v>46057</v>
      </c>
      <c r="C16" s="118" t="s">
        <v>99</v>
      </c>
      <c r="D16" s="118">
        <v>12200</v>
      </c>
      <c r="F16" s="117" t="s">
        <v>122</v>
      </c>
      <c r="I16" s="118">
        <v>24</v>
      </c>
    </row>
    <row r="17" spans="1:12" x14ac:dyDescent="0.15">
      <c r="A17" s="118">
        <v>16</v>
      </c>
      <c r="B17" s="119">
        <v>46058</v>
      </c>
      <c r="C17" s="118" t="s">
        <v>99</v>
      </c>
      <c r="D17" s="118">
        <v>9600</v>
      </c>
      <c r="F17" s="118" t="s">
        <v>226</v>
      </c>
      <c r="H17" s="118">
        <v>26020501</v>
      </c>
      <c r="I17" s="118">
        <v>24</v>
      </c>
    </row>
    <row r="18" spans="1:12" x14ac:dyDescent="0.15">
      <c r="A18" s="118">
        <v>17</v>
      </c>
      <c r="B18" s="119">
        <v>46060</v>
      </c>
      <c r="C18" s="118" t="s">
        <v>99</v>
      </c>
      <c r="D18" s="118">
        <v>12600</v>
      </c>
      <c r="F18" s="117" t="s">
        <v>173</v>
      </c>
      <c r="H18" s="118">
        <v>26020701</v>
      </c>
      <c r="I18" s="118">
        <v>24</v>
      </c>
      <c r="L18" s="70" t="s">
        <v>222</v>
      </c>
    </row>
    <row r="19" spans="1:12" x14ac:dyDescent="0.15">
      <c r="A19" s="118">
        <v>18</v>
      </c>
      <c r="B19" s="119">
        <v>46060</v>
      </c>
      <c r="C19" s="118" t="s">
        <v>99</v>
      </c>
      <c r="D19" s="118">
        <v>4600</v>
      </c>
      <c r="F19" s="117" t="s">
        <v>174</v>
      </c>
      <c r="H19" s="118">
        <v>26020702</v>
      </c>
      <c r="K19" s="70" t="s">
        <v>217</v>
      </c>
      <c r="L19">
        <v>100</v>
      </c>
    </row>
    <row r="20" spans="1:12" x14ac:dyDescent="0.15">
      <c r="A20" s="118">
        <v>19</v>
      </c>
      <c r="B20" s="119">
        <v>46060</v>
      </c>
      <c r="C20" s="118" t="s">
        <v>99</v>
      </c>
      <c r="D20" s="118">
        <v>2900</v>
      </c>
      <c r="F20" s="117" t="s">
        <v>174</v>
      </c>
      <c r="H20" s="118">
        <v>26020703</v>
      </c>
      <c r="K20" s="70" t="s">
        <v>218</v>
      </c>
      <c r="L20">
        <v>50</v>
      </c>
    </row>
    <row r="21" spans="1:12" x14ac:dyDescent="0.15">
      <c r="A21" s="118">
        <v>20</v>
      </c>
      <c r="B21" s="119">
        <v>46064</v>
      </c>
      <c r="C21" s="118" t="s">
        <v>99</v>
      </c>
      <c r="D21" s="118">
        <v>9600</v>
      </c>
      <c r="F21" s="118" t="s">
        <v>223</v>
      </c>
      <c r="H21" s="118">
        <v>26021101</v>
      </c>
      <c r="I21" s="118">
        <v>24</v>
      </c>
      <c r="K21" s="70" t="s">
        <v>219</v>
      </c>
      <c r="L21">
        <v>40</v>
      </c>
    </row>
    <row r="22" spans="1:12" x14ac:dyDescent="0.15">
      <c r="A22" s="118">
        <v>21</v>
      </c>
      <c r="B22" s="119">
        <v>46065</v>
      </c>
      <c r="C22" s="118" t="s">
        <v>99</v>
      </c>
      <c r="D22" s="118">
        <v>11600</v>
      </c>
      <c r="F22" s="117" t="s">
        <v>175</v>
      </c>
      <c r="H22" s="118">
        <v>26021201</v>
      </c>
      <c r="I22" s="118">
        <v>24</v>
      </c>
      <c r="K22" s="70" t="s">
        <v>220</v>
      </c>
      <c r="L22">
        <v>70</v>
      </c>
    </row>
    <row r="23" spans="1:12" x14ac:dyDescent="0.15">
      <c r="A23" s="118">
        <v>22</v>
      </c>
      <c r="B23" s="119">
        <v>46065</v>
      </c>
      <c r="C23" s="118" t="s">
        <v>99</v>
      </c>
      <c r="D23" s="118">
        <v>11800</v>
      </c>
      <c r="F23" s="117" t="s">
        <v>175</v>
      </c>
      <c r="H23" s="118">
        <v>26021202</v>
      </c>
      <c r="I23" s="118">
        <v>24</v>
      </c>
      <c r="K23" s="70" t="s">
        <v>221</v>
      </c>
      <c r="L23">
        <v>100</v>
      </c>
    </row>
    <row r="24" spans="1:12" x14ac:dyDescent="0.15">
      <c r="A24" s="118">
        <v>23</v>
      </c>
      <c r="B24" s="119">
        <v>46066</v>
      </c>
      <c r="C24" s="118" t="s">
        <v>99</v>
      </c>
      <c r="D24" s="118">
        <v>9900</v>
      </c>
      <c r="F24" s="118" t="s">
        <v>230</v>
      </c>
      <c r="H24" s="118">
        <v>26021301</v>
      </c>
      <c r="I24" s="118">
        <v>24</v>
      </c>
    </row>
    <row r="25" spans="1:12" x14ac:dyDescent="0.15">
      <c r="A25" s="118">
        <v>24</v>
      </c>
      <c r="B25" s="119">
        <v>46067</v>
      </c>
      <c r="C25" s="118" t="s">
        <v>99</v>
      </c>
      <c r="D25" s="118">
        <v>9900</v>
      </c>
      <c r="F25" s="118" t="s">
        <v>228</v>
      </c>
      <c r="H25" s="118">
        <v>26021401</v>
      </c>
      <c r="I25" s="118">
        <v>24</v>
      </c>
    </row>
    <row r="26" spans="1:12" x14ac:dyDescent="0.15">
      <c r="A26" s="118">
        <v>25</v>
      </c>
      <c r="B26" s="119">
        <v>46069</v>
      </c>
      <c r="C26" s="118" t="s">
        <v>135</v>
      </c>
      <c r="D26" s="118">
        <v>5803</v>
      </c>
      <c r="F26" s="117" t="s">
        <v>144</v>
      </c>
    </row>
    <row r="27" spans="1:12" x14ac:dyDescent="0.15">
      <c r="A27" s="118">
        <v>26</v>
      </c>
      <c r="B27" s="119">
        <v>46069</v>
      </c>
      <c r="C27" s="118" t="s">
        <v>135</v>
      </c>
      <c r="D27" s="118">
        <v>1433</v>
      </c>
      <c r="F27" s="118" t="s">
        <v>137</v>
      </c>
    </row>
    <row r="28" spans="1:12" x14ac:dyDescent="0.15">
      <c r="A28" s="118">
        <v>27</v>
      </c>
      <c r="B28" s="119">
        <v>46071</v>
      </c>
      <c r="C28" s="118" t="s">
        <v>127</v>
      </c>
      <c r="D28" s="118">
        <v>22220</v>
      </c>
      <c r="F28" s="118" t="s">
        <v>129</v>
      </c>
    </row>
    <row r="29" spans="1:12" x14ac:dyDescent="0.15">
      <c r="A29" s="118">
        <v>28</v>
      </c>
      <c r="B29" s="119">
        <v>46072</v>
      </c>
      <c r="C29" s="118" t="s">
        <v>99</v>
      </c>
      <c r="D29" s="118">
        <v>12600</v>
      </c>
      <c r="F29" s="117" t="s">
        <v>176</v>
      </c>
      <c r="H29" s="118">
        <v>26021901</v>
      </c>
      <c r="I29" s="118">
        <v>24</v>
      </c>
    </row>
    <row r="30" spans="1:12" x14ac:dyDescent="0.15">
      <c r="A30" s="118">
        <v>29</v>
      </c>
      <c r="B30" s="119">
        <v>46072</v>
      </c>
      <c r="C30" s="118" t="s">
        <v>99</v>
      </c>
      <c r="D30" s="118">
        <v>10400</v>
      </c>
      <c r="F30" s="117" t="s">
        <v>176</v>
      </c>
      <c r="H30" s="118">
        <v>26021902</v>
      </c>
      <c r="I30" s="118">
        <v>24</v>
      </c>
    </row>
    <row r="31" spans="1:12" x14ac:dyDescent="0.15">
      <c r="A31" s="118">
        <v>30</v>
      </c>
      <c r="B31" s="119">
        <v>46079</v>
      </c>
      <c r="C31" s="118" t="s">
        <v>99</v>
      </c>
      <c r="D31" s="118">
        <v>9600</v>
      </c>
      <c r="F31" s="118" t="s">
        <v>226</v>
      </c>
      <c r="H31" s="118">
        <v>26022601</v>
      </c>
      <c r="I31" s="118">
        <v>24</v>
      </c>
    </row>
    <row r="32" spans="1:12" x14ac:dyDescent="0.15">
      <c r="A32" s="118">
        <v>31</v>
      </c>
      <c r="B32" s="119">
        <v>46079</v>
      </c>
      <c r="C32" s="118" t="s">
        <v>99</v>
      </c>
      <c r="D32" s="118">
        <v>9900</v>
      </c>
      <c r="F32" s="118" t="s">
        <v>228</v>
      </c>
      <c r="H32" s="118">
        <v>26022601</v>
      </c>
      <c r="I32" s="118">
        <v>24</v>
      </c>
    </row>
    <row r="33" spans="1:9" x14ac:dyDescent="0.15">
      <c r="A33" s="118">
        <v>32</v>
      </c>
      <c r="B33" s="119">
        <v>46081</v>
      </c>
      <c r="C33" s="118" t="s">
        <v>208</v>
      </c>
      <c r="D33" s="118">
        <v>2287</v>
      </c>
      <c r="F33" s="118" t="s">
        <v>210</v>
      </c>
    </row>
    <row r="34" spans="1:9" x14ac:dyDescent="0.15">
      <c r="A34" s="118">
        <v>33</v>
      </c>
      <c r="B34" s="119">
        <v>46081</v>
      </c>
      <c r="C34" s="118" t="s">
        <v>99</v>
      </c>
      <c r="D34" s="118">
        <v>6700</v>
      </c>
      <c r="F34" s="117" t="s">
        <v>177</v>
      </c>
      <c r="H34" s="118">
        <v>26022801</v>
      </c>
      <c r="I34" s="118">
        <v>12</v>
      </c>
    </row>
    <row r="35" spans="1:9" x14ac:dyDescent="0.15">
      <c r="A35" s="118">
        <v>34</v>
      </c>
      <c r="B35" s="119">
        <v>46084</v>
      </c>
      <c r="C35" s="118" t="s">
        <v>99</v>
      </c>
      <c r="D35" s="118">
        <v>4800</v>
      </c>
      <c r="F35" s="118" t="s">
        <v>227</v>
      </c>
      <c r="H35" s="118">
        <v>26030301</v>
      </c>
      <c r="I35" s="118">
        <v>12</v>
      </c>
    </row>
    <row r="36" spans="1:9" x14ac:dyDescent="0.15">
      <c r="A36" s="118">
        <v>35</v>
      </c>
      <c r="B36" s="119">
        <v>46085</v>
      </c>
      <c r="C36" s="118" t="s">
        <v>99</v>
      </c>
      <c r="D36" s="118">
        <v>12200</v>
      </c>
      <c r="F36" s="118" t="s">
        <v>200</v>
      </c>
      <c r="H36" s="118">
        <v>26030401</v>
      </c>
      <c r="I36" s="118">
        <v>24</v>
      </c>
    </row>
    <row r="37" spans="1:9" x14ac:dyDescent="0.15">
      <c r="A37" s="118">
        <v>36</v>
      </c>
      <c r="B37" s="119">
        <v>46087</v>
      </c>
      <c r="C37" s="118" t="s">
        <v>99</v>
      </c>
      <c r="D37" s="118">
        <v>2500</v>
      </c>
      <c r="F37" s="118" t="s">
        <v>201</v>
      </c>
      <c r="H37" s="118">
        <v>26030601</v>
      </c>
    </row>
    <row r="38" spans="1:9" x14ac:dyDescent="0.15">
      <c r="A38" s="118">
        <v>37</v>
      </c>
      <c r="B38" s="119">
        <v>46087</v>
      </c>
      <c r="C38" s="118" t="s">
        <v>99</v>
      </c>
      <c r="D38" s="118">
        <v>3600</v>
      </c>
      <c r="F38" s="118" t="s">
        <v>201</v>
      </c>
      <c r="H38" s="118">
        <v>26030602</v>
      </c>
    </row>
    <row r="39" spans="1:9" x14ac:dyDescent="0.15">
      <c r="A39" s="118">
        <v>38</v>
      </c>
      <c r="B39" s="119">
        <v>46088</v>
      </c>
      <c r="C39" s="118" t="s">
        <v>99</v>
      </c>
      <c r="D39" s="118">
        <v>13000</v>
      </c>
      <c r="F39" s="118" t="s">
        <v>202</v>
      </c>
      <c r="H39" s="118">
        <v>26030701</v>
      </c>
      <c r="I39" s="118">
        <v>24</v>
      </c>
    </row>
    <row r="40" spans="1:9" x14ac:dyDescent="0.15">
      <c r="A40" s="118">
        <v>39</v>
      </c>
      <c r="B40" s="119">
        <v>46091</v>
      </c>
      <c r="C40" s="118" t="s">
        <v>99</v>
      </c>
      <c r="D40" s="118">
        <v>9900</v>
      </c>
      <c r="F40" s="118" t="s">
        <v>224</v>
      </c>
      <c r="H40" s="118">
        <v>26031001</v>
      </c>
      <c r="I40" s="118">
        <v>24</v>
      </c>
    </row>
    <row r="41" spans="1:9" x14ac:dyDescent="0.15">
      <c r="A41" s="118">
        <v>40</v>
      </c>
      <c r="B41" s="119">
        <v>46097</v>
      </c>
      <c r="C41" s="118" t="s">
        <v>135</v>
      </c>
      <c r="D41" s="118">
        <v>5090</v>
      </c>
      <c r="F41" s="117" t="s">
        <v>145</v>
      </c>
    </row>
    <row r="42" spans="1:9" x14ac:dyDescent="0.15">
      <c r="A42" s="118">
        <v>41</v>
      </c>
      <c r="B42" s="119">
        <v>46097</v>
      </c>
      <c r="C42" s="118" t="s">
        <v>135</v>
      </c>
      <c r="D42" s="118">
        <v>2014</v>
      </c>
      <c r="F42" s="118" t="s">
        <v>138</v>
      </c>
    </row>
    <row r="43" spans="1:9" x14ac:dyDescent="0.15">
      <c r="A43" s="118">
        <v>42</v>
      </c>
      <c r="B43" s="119">
        <v>46097</v>
      </c>
      <c r="C43" s="118" t="s">
        <v>99</v>
      </c>
      <c r="D43" s="118">
        <v>11800</v>
      </c>
      <c r="F43" s="118" t="s">
        <v>203</v>
      </c>
      <c r="H43" s="118">
        <v>26031601</v>
      </c>
      <c r="I43" s="118">
        <v>24</v>
      </c>
    </row>
    <row r="44" spans="1:9" x14ac:dyDescent="0.15">
      <c r="A44" s="118">
        <v>43</v>
      </c>
      <c r="B44" s="119">
        <v>46101</v>
      </c>
      <c r="C44" s="118" t="s">
        <v>99</v>
      </c>
      <c r="D44" s="118">
        <v>9600</v>
      </c>
      <c r="F44" s="118" t="s">
        <v>226</v>
      </c>
      <c r="H44" s="118">
        <v>26032001</v>
      </c>
      <c r="I44" s="118">
        <v>24</v>
      </c>
    </row>
    <row r="45" spans="1:9" x14ac:dyDescent="0.15">
      <c r="A45" s="118">
        <v>44</v>
      </c>
      <c r="B45" s="119">
        <v>46105</v>
      </c>
      <c r="C45" s="118" t="s">
        <v>99</v>
      </c>
      <c r="D45" s="118">
        <v>11600</v>
      </c>
      <c r="F45" s="118" t="s">
        <v>203</v>
      </c>
      <c r="H45" s="118">
        <v>26032401</v>
      </c>
      <c r="I45" s="118">
        <v>24</v>
      </c>
    </row>
    <row r="46" spans="1:9" x14ac:dyDescent="0.15">
      <c r="A46" s="118">
        <v>45</v>
      </c>
      <c r="B46" s="119">
        <v>46107</v>
      </c>
      <c r="C46" s="118" t="s">
        <v>99</v>
      </c>
      <c r="D46" s="118">
        <v>11600</v>
      </c>
      <c r="F46" s="118" t="s">
        <v>203</v>
      </c>
      <c r="H46" s="118">
        <v>26032601</v>
      </c>
      <c r="I46" s="118">
        <v>24</v>
      </c>
    </row>
    <row r="47" spans="1:9" x14ac:dyDescent="0.15">
      <c r="A47" s="118">
        <v>46</v>
      </c>
      <c r="B47" s="119">
        <v>46107</v>
      </c>
      <c r="C47" s="118" t="s">
        <v>99</v>
      </c>
      <c r="D47" s="118">
        <v>6500</v>
      </c>
      <c r="F47" s="118" t="s">
        <v>178</v>
      </c>
      <c r="H47" s="118">
        <v>26032602</v>
      </c>
      <c r="I47" s="118">
        <v>12</v>
      </c>
    </row>
    <row r="48" spans="1:9" x14ac:dyDescent="0.15">
      <c r="A48" s="118">
        <v>47</v>
      </c>
      <c r="B48" s="119">
        <v>46109</v>
      </c>
      <c r="C48" s="118" t="s">
        <v>99</v>
      </c>
      <c r="D48" s="118">
        <v>9600</v>
      </c>
      <c r="F48" s="118" t="s">
        <v>223</v>
      </c>
      <c r="H48" s="118">
        <v>26032801</v>
      </c>
      <c r="I48" s="118">
        <v>24</v>
      </c>
    </row>
    <row r="49" spans="1:9" x14ac:dyDescent="0.15">
      <c r="A49" s="118">
        <v>48</v>
      </c>
      <c r="B49" s="119">
        <v>46112</v>
      </c>
      <c r="C49" s="118" t="s">
        <v>208</v>
      </c>
      <c r="D49" s="118">
        <v>2287</v>
      </c>
      <c r="F49" s="118" t="s">
        <v>211</v>
      </c>
    </row>
    <row r="50" spans="1:9" x14ac:dyDescent="0.15">
      <c r="A50" s="118">
        <v>49</v>
      </c>
      <c r="B50" s="119">
        <v>46112</v>
      </c>
      <c r="C50" s="118" t="s">
        <v>127</v>
      </c>
      <c r="D50" s="118">
        <v>17380</v>
      </c>
      <c r="F50" s="118" t="s">
        <v>130</v>
      </c>
    </row>
    <row r="51" spans="1:9" x14ac:dyDescent="0.15">
      <c r="A51" s="118">
        <v>50</v>
      </c>
      <c r="B51" s="119">
        <v>46113</v>
      </c>
      <c r="C51" s="118" t="s">
        <v>99</v>
      </c>
      <c r="D51" s="118">
        <v>9900</v>
      </c>
      <c r="F51" s="118" t="s">
        <v>224</v>
      </c>
      <c r="H51" s="118">
        <v>26042101</v>
      </c>
      <c r="I51" s="118">
        <v>24</v>
      </c>
    </row>
    <row r="52" spans="1:9" x14ac:dyDescent="0.15">
      <c r="A52" s="118">
        <v>51</v>
      </c>
      <c r="B52" s="119">
        <v>46122</v>
      </c>
      <c r="C52" s="118" t="s">
        <v>99</v>
      </c>
      <c r="D52" s="118">
        <v>12300</v>
      </c>
      <c r="F52" s="118" t="s">
        <v>202</v>
      </c>
      <c r="H52" s="118">
        <v>26041001</v>
      </c>
      <c r="I52" s="118">
        <v>24</v>
      </c>
    </row>
    <row r="53" spans="1:9" x14ac:dyDescent="0.15">
      <c r="A53" s="118">
        <v>52</v>
      </c>
      <c r="B53" s="119">
        <v>46127</v>
      </c>
      <c r="C53" s="118" t="s">
        <v>135</v>
      </c>
      <c r="D53" s="118">
        <v>6790</v>
      </c>
      <c r="F53" s="117" t="s">
        <v>146</v>
      </c>
    </row>
    <row r="54" spans="1:9" x14ac:dyDescent="0.15">
      <c r="A54" s="118">
        <v>53</v>
      </c>
      <c r="B54" s="119">
        <v>46127</v>
      </c>
      <c r="C54" s="118" t="s">
        <v>135</v>
      </c>
      <c r="D54" s="118">
        <v>2732</v>
      </c>
      <c r="F54" s="118" t="s">
        <v>139</v>
      </c>
    </row>
    <row r="55" spans="1:9" x14ac:dyDescent="0.15">
      <c r="A55" s="118">
        <v>54</v>
      </c>
      <c r="B55" s="119">
        <v>46127</v>
      </c>
      <c r="C55" s="118" t="s">
        <v>99</v>
      </c>
      <c r="D55" s="118">
        <v>9600</v>
      </c>
      <c r="F55" s="118" t="s">
        <v>226</v>
      </c>
      <c r="H55" s="118">
        <v>26041501</v>
      </c>
      <c r="I55" s="118">
        <v>24</v>
      </c>
    </row>
    <row r="56" spans="1:9" x14ac:dyDescent="0.15">
      <c r="A56" s="118">
        <v>55</v>
      </c>
      <c r="B56" s="119">
        <v>46129</v>
      </c>
      <c r="C56" s="118" t="s">
        <v>99</v>
      </c>
      <c r="D56" s="118">
        <v>11800</v>
      </c>
      <c r="F56" s="118" t="s">
        <v>203</v>
      </c>
      <c r="H56" s="118">
        <v>26041701</v>
      </c>
      <c r="I56" s="118">
        <v>24</v>
      </c>
    </row>
    <row r="57" spans="1:9" x14ac:dyDescent="0.15">
      <c r="A57" s="118">
        <v>56</v>
      </c>
      <c r="B57" s="119">
        <v>46132</v>
      </c>
      <c r="C57" s="118" t="s">
        <v>99</v>
      </c>
      <c r="D57" s="118">
        <v>14000</v>
      </c>
      <c r="F57" s="118" t="s">
        <v>204</v>
      </c>
      <c r="H57" s="118">
        <v>26042001</v>
      </c>
      <c r="I57" s="118">
        <v>24</v>
      </c>
    </row>
    <row r="58" spans="1:9" x14ac:dyDescent="0.15">
      <c r="A58" s="118">
        <v>57</v>
      </c>
      <c r="B58" s="119">
        <v>46135</v>
      </c>
      <c r="C58" s="118" t="s">
        <v>99</v>
      </c>
      <c r="D58" s="118">
        <v>9900</v>
      </c>
      <c r="F58" s="118" t="s">
        <v>224</v>
      </c>
      <c r="H58" s="118">
        <v>26042301</v>
      </c>
      <c r="I58" s="118">
        <v>24</v>
      </c>
    </row>
    <row r="59" spans="1:9" x14ac:dyDescent="0.15">
      <c r="A59" s="118">
        <v>58</v>
      </c>
      <c r="B59" s="119">
        <v>46136</v>
      </c>
      <c r="C59" s="118" t="s">
        <v>99</v>
      </c>
      <c r="D59" s="118">
        <v>11800</v>
      </c>
      <c r="F59" s="118" t="s">
        <v>203</v>
      </c>
      <c r="H59" s="118">
        <v>26042401</v>
      </c>
      <c r="I59" s="118">
        <v>24</v>
      </c>
    </row>
    <row r="60" spans="1:9" x14ac:dyDescent="0.15">
      <c r="A60" s="118">
        <v>59</v>
      </c>
      <c r="B60" s="119">
        <v>46138</v>
      </c>
      <c r="C60" s="118" t="s">
        <v>99</v>
      </c>
      <c r="D60" s="118">
        <v>9900</v>
      </c>
      <c r="F60" s="118" t="s">
        <v>228</v>
      </c>
      <c r="H60" s="118">
        <v>26042601</v>
      </c>
      <c r="I60" s="118">
        <v>24</v>
      </c>
    </row>
    <row r="61" spans="1:9" x14ac:dyDescent="0.15">
      <c r="A61" s="118">
        <v>60</v>
      </c>
      <c r="B61" s="119">
        <v>46139</v>
      </c>
      <c r="C61" s="118" t="s">
        <v>99</v>
      </c>
      <c r="D61" s="118">
        <v>9600</v>
      </c>
      <c r="F61" s="118" t="s">
        <v>223</v>
      </c>
      <c r="H61" s="118">
        <v>26042701</v>
      </c>
      <c r="I61" s="118">
        <v>24</v>
      </c>
    </row>
    <row r="62" spans="1:9" x14ac:dyDescent="0.15">
      <c r="A62" s="118">
        <v>61</v>
      </c>
      <c r="B62" s="119">
        <v>46140</v>
      </c>
      <c r="C62" s="118" t="s">
        <v>99</v>
      </c>
      <c r="D62" s="118">
        <v>9600</v>
      </c>
      <c r="F62" s="118" t="s">
        <v>223</v>
      </c>
      <c r="H62" s="118">
        <v>26042801</v>
      </c>
      <c r="I62" s="118">
        <v>24</v>
      </c>
    </row>
    <row r="63" spans="1:9" x14ac:dyDescent="0.15">
      <c r="A63" s="118">
        <v>62</v>
      </c>
      <c r="B63" s="119">
        <v>46142</v>
      </c>
      <c r="C63" s="118" t="s">
        <v>208</v>
      </c>
      <c r="D63" s="118">
        <v>2288</v>
      </c>
      <c r="F63" s="118" t="s">
        <v>212</v>
      </c>
    </row>
    <row r="64" spans="1:9" x14ac:dyDescent="0.15">
      <c r="A64" s="118">
        <v>63</v>
      </c>
      <c r="B64" s="119">
        <v>46142</v>
      </c>
      <c r="C64" s="118" t="s">
        <v>127</v>
      </c>
      <c r="D64" s="118">
        <v>20240</v>
      </c>
      <c r="F64" s="118" t="s">
        <v>131</v>
      </c>
    </row>
    <row r="65" spans="1:9" x14ac:dyDescent="0.15">
      <c r="A65" s="118">
        <v>64</v>
      </c>
      <c r="B65" s="119">
        <v>46146</v>
      </c>
      <c r="C65" s="118" t="s">
        <v>99</v>
      </c>
      <c r="D65" s="118">
        <v>2200</v>
      </c>
      <c r="F65" s="118" t="s">
        <v>201</v>
      </c>
      <c r="H65" s="118">
        <v>26050401</v>
      </c>
    </row>
    <row r="66" spans="1:9" x14ac:dyDescent="0.15">
      <c r="A66" s="118">
        <v>65</v>
      </c>
      <c r="B66" s="119">
        <v>46146</v>
      </c>
      <c r="C66" s="118" t="s">
        <v>99</v>
      </c>
      <c r="D66" s="118">
        <v>13000</v>
      </c>
      <c r="F66" s="118" t="s">
        <v>202</v>
      </c>
      <c r="H66" s="118">
        <v>26050402</v>
      </c>
      <c r="I66" s="118">
        <v>24</v>
      </c>
    </row>
    <row r="67" spans="1:9" x14ac:dyDescent="0.15">
      <c r="A67" s="118">
        <v>66</v>
      </c>
      <c r="B67" s="119">
        <v>46146</v>
      </c>
      <c r="C67" s="118" t="s">
        <v>99</v>
      </c>
      <c r="D67" s="118">
        <v>9900</v>
      </c>
      <c r="F67" s="118" t="s">
        <v>228</v>
      </c>
      <c r="H67" s="118">
        <v>26050403</v>
      </c>
      <c r="I67" s="118">
        <v>24</v>
      </c>
    </row>
    <row r="68" spans="1:9" x14ac:dyDescent="0.15">
      <c r="A68" s="118">
        <v>67</v>
      </c>
      <c r="B68" s="119">
        <v>46148</v>
      </c>
      <c r="C68" s="118" t="s">
        <v>99</v>
      </c>
      <c r="D68" s="118">
        <v>10100</v>
      </c>
      <c r="F68" s="118" t="s">
        <v>204</v>
      </c>
      <c r="H68" s="118">
        <v>26050601</v>
      </c>
      <c r="I68" s="118">
        <v>24</v>
      </c>
    </row>
    <row r="69" spans="1:9" x14ac:dyDescent="0.15">
      <c r="A69" s="118">
        <v>68</v>
      </c>
      <c r="B69" s="119">
        <v>46153</v>
      </c>
      <c r="C69" s="118" t="s">
        <v>99</v>
      </c>
      <c r="D69" s="118">
        <v>6600</v>
      </c>
      <c r="F69" s="118" t="s">
        <v>178</v>
      </c>
      <c r="H69" s="118">
        <v>26051101</v>
      </c>
      <c r="I69" s="118">
        <v>12</v>
      </c>
    </row>
    <row r="70" spans="1:9" x14ac:dyDescent="0.15">
      <c r="A70" s="118">
        <v>69</v>
      </c>
      <c r="B70" s="119">
        <v>46155</v>
      </c>
      <c r="C70" s="118" t="s">
        <v>99</v>
      </c>
      <c r="D70" s="118">
        <v>9900</v>
      </c>
      <c r="F70" s="118" t="s">
        <v>228</v>
      </c>
      <c r="H70" s="118">
        <v>26051301</v>
      </c>
      <c r="I70" s="118">
        <v>24</v>
      </c>
    </row>
    <row r="71" spans="1:9" x14ac:dyDescent="0.15">
      <c r="A71" s="118">
        <v>70</v>
      </c>
      <c r="B71" s="119">
        <v>46156</v>
      </c>
      <c r="C71" s="118" t="s">
        <v>99</v>
      </c>
      <c r="D71" s="118">
        <v>9600</v>
      </c>
      <c r="F71" s="118" t="s">
        <v>223</v>
      </c>
      <c r="H71" s="118">
        <v>26051401</v>
      </c>
      <c r="I71" s="118">
        <v>24</v>
      </c>
    </row>
    <row r="72" spans="1:9" x14ac:dyDescent="0.15">
      <c r="A72" s="118">
        <v>71</v>
      </c>
      <c r="B72" s="119">
        <v>46160</v>
      </c>
      <c r="C72" s="118" t="s">
        <v>135</v>
      </c>
      <c r="D72" s="118">
        <v>5245</v>
      </c>
      <c r="F72" s="117" t="s">
        <v>147</v>
      </c>
    </row>
    <row r="73" spans="1:9" x14ac:dyDescent="0.15">
      <c r="A73" s="118">
        <v>72</v>
      </c>
      <c r="B73" s="119">
        <v>46160</v>
      </c>
      <c r="C73" s="118" t="s">
        <v>135</v>
      </c>
      <c r="D73" s="118">
        <v>3561</v>
      </c>
      <c r="F73" s="118" t="s">
        <v>140</v>
      </c>
    </row>
    <row r="74" spans="1:9" x14ac:dyDescent="0.15">
      <c r="A74" s="118">
        <v>73</v>
      </c>
      <c r="B74" s="119">
        <v>46163</v>
      </c>
      <c r="C74" s="118" t="s">
        <v>99</v>
      </c>
      <c r="D74" s="118">
        <v>12500</v>
      </c>
      <c r="F74" s="118" t="s">
        <v>202</v>
      </c>
      <c r="H74" s="118">
        <v>26052101</v>
      </c>
      <c r="I74" s="118">
        <v>24</v>
      </c>
    </row>
    <row r="75" spans="1:9" x14ac:dyDescent="0.15">
      <c r="A75" s="118">
        <v>74</v>
      </c>
      <c r="B75" s="119">
        <v>46163</v>
      </c>
      <c r="C75" s="118" t="s">
        <v>99</v>
      </c>
      <c r="D75" s="118">
        <v>9900</v>
      </c>
      <c r="F75" s="118" t="s">
        <v>228</v>
      </c>
      <c r="H75" s="118">
        <v>26052102</v>
      </c>
      <c r="I75" s="118">
        <v>24</v>
      </c>
    </row>
    <row r="76" spans="1:9" x14ac:dyDescent="0.15">
      <c r="A76" s="118">
        <v>75</v>
      </c>
      <c r="B76" s="119">
        <v>46164</v>
      </c>
      <c r="C76" s="118" t="s">
        <v>99</v>
      </c>
      <c r="D76" s="118">
        <v>9900</v>
      </c>
      <c r="F76" s="118" t="s">
        <v>228</v>
      </c>
      <c r="H76" s="118">
        <v>26052201</v>
      </c>
      <c r="I76" s="118">
        <v>24</v>
      </c>
    </row>
    <row r="77" spans="1:9" x14ac:dyDescent="0.15">
      <c r="A77" s="118">
        <v>76</v>
      </c>
      <c r="B77" s="119">
        <v>46167</v>
      </c>
      <c r="C77" s="118" t="s">
        <v>99</v>
      </c>
      <c r="D77" s="118">
        <v>9600</v>
      </c>
      <c r="F77" s="118" t="s">
        <v>226</v>
      </c>
      <c r="H77" s="118">
        <v>26052501</v>
      </c>
      <c r="I77" s="118">
        <v>24</v>
      </c>
    </row>
    <row r="78" spans="1:9" x14ac:dyDescent="0.15">
      <c r="A78" s="118">
        <v>77</v>
      </c>
      <c r="B78" s="119">
        <v>46170</v>
      </c>
      <c r="C78" s="118" t="s">
        <v>99</v>
      </c>
      <c r="D78" s="118">
        <v>11800</v>
      </c>
      <c r="F78" s="118" t="s">
        <v>203</v>
      </c>
      <c r="H78" s="118">
        <v>26052801</v>
      </c>
      <c r="I78" s="118">
        <v>24</v>
      </c>
    </row>
    <row r="79" spans="1:9" x14ac:dyDescent="0.15">
      <c r="A79" s="118">
        <v>78</v>
      </c>
      <c r="B79" s="119">
        <v>46172</v>
      </c>
      <c r="C79" s="118" t="s">
        <v>99</v>
      </c>
      <c r="D79" s="118">
        <v>11500</v>
      </c>
      <c r="F79" s="118" t="s">
        <v>205</v>
      </c>
      <c r="H79" s="118">
        <v>26053001</v>
      </c>
      <c r="I79" s="118">
        <v>24</v>
      </c>
    </row>
    <row r="80" spans="1:9" x14ac:dyDescent="0.15">
      <c r="A80" s="118">
        <v>79</v>
      </c>
      <c r="B80" s="119">
        <v>46173</v>
      </c>
      <c r="C80" s="118" t="s">
        <v>208</v>
      </c>
      <c r="D80" s="118">
        <v>2287</v>
      </c>
      <c r="F80" s="118" t="s">
        <v>213</v>
      </c>
    </row>
    <row r="81" spans="1:9" x14ac:dyDescent="0.15">
      <c r="A81" s="118">
        <v>80</v>
      </c>
      <c r="B81" s="119">
        <v>46173</v>
      </c>
      <c r="C81" s="118" t="s">
        <v>127</v>
      </c>
      <c r="D81" s="118">
        <v>15070</v>
      </c>
      <c r="F81" s="118" t="s">
        <v>132</v>
      </c>
    </row>
    <row r="82" spans="1:9" x14ac:dyDescent="0.15">
      <c r="A82" s="118">
        <v>81</v>
      </c>
      <c r="B82" s="119">
        <v>46173</v>
      </c>
      <c r="C82" s="118" t="s">
        <v>99</v>
      </c>
      <c r="D82" s="118">
        <v>9600</v>
      </c>
      <c r="F82" s="118" t="s">
        <v>226</v>
      </c>
      <c r="H82" s="118">
        <v>26053101</v>
      </c>
      <c r="I82" s="118">
        <v>24</v>
      </c>
    </row>
    <row r="83" spans="1:9" x14ac:dyDescent="0.15">
      <c r="A83" s="118">
        <v>82</v>
      </c>
      <c r="B83" s="119">
        <v>46175</v>
      </c>
      <c r="C83" s="118" t="s">
        <v>99</v>
      </c>
      <c r="D83" s="118">
        <v>11800</v>
      </c>
      <c r="F83" s="118" t="s">
        <v>203</v>
      </c>
      <c r="H83" s="118">
        <v>26060201</v>
      </c>
      <c r="I83" s="118">
        <v>24</v>
      </c>
    </row>
    <row r="84" spans="1:9" x14ac:dyDescent="0.15">
      <c r="A84" s="118">
        <v>83</v>
      </c>
      <c r="B84" s="119">
        <v>46177</v>
      </c>
      <c r="C84" s="118" t="s">
        <v>99</v>
      </c>
      <c r="D84" s="118">
        <v>9900</v>
      </c>
      <c r="F84" s="118" t="s">
        <v>230</v>
      </c>
      <c r="H84" s="118">
        <v>26060401</v>
      </c>
      <c r="I84" s="118">
        <v>24</v>
      </c>
    </row>
    <row r="85" spans="1:9" x14ac:dyDescent="0.15">
      <c r="A85" s="118">
        <v>84</v>
      </c>
      <c r="B85" s="119">
        <v>46178</v>
      </c>
      <c r="C85" s="118" t="s">
        <v>99</v>
      </c>
      <c r="D85" s="118">
        <v>9600</v>
      </c>
      <c r="F85" s="118" t="s">
        <v>223</v>
      </c>
      <c r="H85" s="118">
        <v>26060501</v>
      </c>
      <c r="I85" s="118">
        <v>24</v>
      </c>
    </row>
    <row r="86" spans="1:9" x14ac:dyDescent="0.15">
      <c r="A86" s="118">
        <v>85</v>
      </c>
      <c r="B86" s="119">
        <v>46186</v>
      </c>
      <c r="C86" s="118" t="s">
        <v>99</v>
      </c>
      <c r="D86" s="118">
        <v>9600</v>
      </c>
      <c r="F86" s="118" t="s">
        <v>226</v>
      </c>
      <c r="H86" s="118">
        <v>26061301</v>
      </c>
      <c r="I86" s="118">
        <v>24</v>
      </c>
    </row>
    <row r="87" spans="1:9" x14ac:dyDescent="0.15">
      <c r="A87" s="118">
        <v>86</v>
      </c>
      <c r="B87" s="119">
        <v>46188</v>
      </c>
      <c r="C87" s="118" t="s">
        <v>135</v>
      </c>
      <c r="D87" s="118">
        <v>3340</v>
      </c>
      <c r="F87" s="117" t="s">
        <v>148</v>
      </c>
    </row>
    <row r="88" spans="1:9" x14ac:dyDescent="0.15">
      <c r="A88" s="118">
        <v>87</v>
      </c>
      <c r="B88" s="119">
        <v>46188</v>
      </c>
      <c r="C88" s="118" t="s">
        <v>135</v>
      </c>
      <c r="D88" s="118">
        <v>4920</v>
      </c>
      <c r="F88" s="118" t="s">
        <v>141</v>
      </c>
    </row>
    <row r="89" spans="1:9" x14ac:dyDescent="0.15">
      <c r="A89" s="118">
        <v>88</v>
      </c>
      <c r="B89" s="119">
        <v>46191</v>
      </c>
      <c r="C89" s="118" t="s">
        <v>99</v>
      </c>
      <c r="D89" s="118">
        <v>4700</v>
      </c>
      <c r="F89" s="118" t="s">
        <v>201</v>
      </c>
      <c r="H89" s="118">
        <v>26061801</v>
      </c>
    </row>
    <row r="90" spans="1:9" x14ac:dyDescent="0.15">
      <c r="A90" s="118">
        <v>89</v>
      </c>
      <c r="B90" s="119">
        <v>46191</v>
      </c>
      <c r="C90" s="118" t="s">
        <v>99</v>
      </c>
      <c r="D90" s="118">
        <v>2400</v>
      </c>
      <c r="F90" s="118" t="s">
        <v>201</v>
      </c>
      <c r="H90" s="118">
        <v>26061802</v>
      </c>
    </row>
    <row r="91" spans="1:9" x14ac:dyDescent="0.15">
      <c r="A91" s="118">
        <v>90</v>
      </c>
      <c r="B91" s="119">
        <v>46191</v>
      </c>
      <c r="C91" s="118" t="s">
        <v>99</v>
      </c>
      <c r="D91" s="118">
        <v>5300</v>
      </c>
      <c r="F91" s="118" t="s">
        <v>201</v>
      </c>
      <c r="H91" s="118">
        <v>26061803</v>
      </c>
    </row>
    <row r="92" spans="1:9" x14ac:dyDescent="0.15">
      <c r="A92" s="118">
        <v>91</v>
      </c>
      <c r="B92" s="119">
        <v>46193</v>
      </c>
      <c r="C92" s="118" t="s">
        <v>99</v>
      </c>
      <c r="D92" s="118">
        <v>6300</v>
      </c>
      <c r="F92" s="118" t="s">
        <v>178</v>
      </c>
      <c r="H92" s="118">
        <v>26062001</v>
      </c>
      <c r="I92" s="118">
        <v>12</v>
      </c>
    </row>
    <row r="93" spans="1:9" x14ac:dyDescent="0.15">
      <c r="A93" s="118">
        <v>92</v>
      </c>
      <c r="B93" s="119">
        <v>46193</v>
      </c>
      <c r="C93" s="118" t="s">
        <v>99</v>
      </c>
      <c r="D93" s="118">
        <v>6600</v>
      </c>
      <c r="F93" s="118" t="s">
        <v>178</v>
      </c>
      <c r="H93" s="118">
        <v>26062002</v>
      </c>
      <c r="I93" s="118">
        <v>12</v>
      </c>
    </row>
    <row r="94" spans="1:9" x14ac:dyDescent="0.15">
      <c r="A94" s="118">
        <v>93</v>
      </c>
      <c r="B94" s="119">
        <v>46194</v>
      </c>
      <c r="C94" s="118" t="s">
        <v>99</v>
      </c>
      <c r="D94" s="118">
        <v>11800</v>
      </c>
      <c r="F94" s="118" t="s">
        <v>203</v>
      </c>
      <c r="H94" s="118">
        <v>26062101</v>
      </c>
      <c r="I94" s="118">
        <v>24</v>
      </c>
    </row>
    <row r="95" spans="1:9" x14ac:dyDescent="0.15">
      <c r="A95" s="118">
        <v>94</v>
      </c>
      <c r="B95" s="119">
        <v>46194</v>
      </c>
      <c r="C95" s="118" t="s">
        <v>99</v>
      </c>
      <c r="D95" s="118">
        <v>9900</v>
      </c>
      <c r="F95" s="118" t="s">
        <v>224</v>
      </c>
      <c r="H95" s="118">
        <v>26062102</v>
      </c>
      <c r="I95" s="118">
        <v>24</v>
      </c>
    </row>
    <row r="96" spans="1:9" x14ac:dyDescent="0.15">
      <c r="A96" s="118">
        <v>95</v>
      </c>
      <c r="B96" s="119">
        <v>46203</v>
      </c>
      <c r="C96" s="118" t="s">
        <v>208</v>
      </c>
      <c r="D96" s="118">
        <v>2294</v>
      </c>
      <c r="F96" s="118" t="s">
        <v>214</v>
      </c>
    </row>
    <row r="97" spans="1:9" x14ac:dyDescent="0.15">
      <c r="A97" s="118">
        <v>96</v>
      </c>
      <c r="B97" s="119">
        <v>46203</v>
      </c>
      <c r="C97" s="118" t="s">
        <v>127</v>
      </c>
      <c r="D97" s="118">
        <v>13090</v>
      </c>
      <c r="F97" s="118" t="s">
        <v>133</v>
      </c>
    </row>
    <row r="98" spans="1:9" x14ac:dyDescent="0.15">
      <c r="A98" s="118">
        <v>97</v>
      </c>
      <c r="B98" s="119">
        <v>46205</v>
      </c>
      <c r="C98" s="118" t="s">
        <v>99</v>
      </c>
      <c r="D98" s="118">
        <v>12200</v>
      </c>
      <c r="F98" s="118" t="s">
        <v>202</v>
      </c>
      <c r="H98" s="118">
        <v>26070201</v>
      </c>
      <c r="I98" s="118">
        <v>24</v>
      </c>
    </row>
    <row r="99" spans="1:9" x14ac:dyDescent="0.15">
      <c r="A99" s="118">
        <v>98</v>
      </c>
      <c r="B99" s="119">
        <v>46206</v>
      </c>
      <c r="C99" s="118" t="s">
        <v>99</v>
      </c>
      <c r="D99" s="118">
        <v>19200</v>
      </c>
      <c r="F99" s="118" t="s">
        <v>226</v>
      </c>
      <c r="H99" s="118">
        <v>26070301</v>
      </c>
      <c r="I99" s="118">
        <v>24</v>
      </c>
    </row>
    <row r="100" spans="1:9" x14ac:dyDescent="0.15">
      <c r="A100" s="118">
        <v>99</v>
      </c>
      <c r="B100" s="119">
        <v>46209</v>
      </c>
      <c r="C100" s="118" t="s">
        <v>99</v>
      </c>
      <c r="D100" s="118">
        <v>9600</v>
      </c>
      <c r="F100" s="118" t="s">
        <v>223</v>
      </c>
      <c r="H100" s="118">
        <v>26070601</v>
      </c>
      <c r="I100" s="118">
        <v>24</v>
      </c>
    </row>
    <row r="101" spans="1:9" x14ac:dyDescent="0.15">
      <c r="A101" s="118">
        <v>100</v>
      </c>
      <c r="B101" s="119">
        <v>46213</v>
      </c>
      <c r="C101" s="118" t="s">
        <v>99</v>
      </c>
      <c r="D101" s="118">
        <v>9900</v>
      </c>
      <c r="F101" s="118" t="s">
        <v>224</v>
      </c>
      <c r="H101" s="118">
        <v>26071001</v>
      </c>
      <c r="I101" s="118">
        <v>24</v>
      </c>
    </row>
    <row r="102" spans="1:9" x14ac:dyDescent="0.15">
      <c r="A102" s="118">
        <v>101</v>
      </c>
      <c r="B102" s="119">
        <v>46214</v>
      </c>
      <c r="C102" s="118" t="s">
        <v>99</v>
      </c>
      <c r="D102" s="118">
        <v>11800</v>
      </c>
      <c r="F102" s="118" t="s">
        <v>203</v>
      </c>
      <c r="H102" s="118">
        <v>26071101</v>
      </c>
      <c r="I102" s="118">
        <v>24</v>
      </c>
    </row>
    <row r="103" spans="1:9" x14ac:dyDescent="0.15">
      <c r="A103" s="118">
        <v>102</v>
      </c>
      <c r="B103" s="119">
        <v>46218</v>
      </c>
      <c r="C103" s="118" t="s">
        <v>135</v>
      </c>
      <c r="D103" s="118">
        <v>3637</v>
      </c>
      <c r="F103" s="117" t="s">
        <v>149</v>
      </c>
    </row>
    <row r="104" spans="1:9" x14ac:dyDescent="0.15">
      <c r="A104" s="118">
        <v>103</v>
      </c>
      <c r="B104" s="119">
        <v>46218</v>
      </c>
      <c r="C104" s="118" t="s">
        <v>135</v>
      </c>
      <c r="D104" s="118">
        <v>5121</v>
      </c>
      <c r="F104" s="118" t="s">
        <v>142</v>
      </c>
    </row>
    <row r="105" spans="1:9" x14ac:dyDescent="0.15">
      <c r="A105" s="118">
        <v>104</v>
      </c>
      <c r="B105" s="119">
        <v>46218</v>
      </c>
      <c r="C105" s="118" t="s">
        <v>99</v>
      </c>
      <c r="D105" s="118">
        <v>9600</v>
      </c>
      <c r="F105" s="118" t="s">
        <v>226</v>
      </c>
      <c r="H105" s="118">
        <v>26071501</v>
      </c>
      <c r="I105" s="118">
        <v>24</v>
      </c>
    </row>
    <row r="106" spans="1:9" x14ac:dyDescent="0.15">
      <c r="A106" s="118">
        <v>105</v>
      </c>
      <c r="B106" s="119">
        <v>46223</v>
      </c>
      <c r="C106" s="118" t="s">
        <v>99</v>
      </c>
      <c r="D106" s="118">
        <v>9900</v>
      </c>
      <c r="F106" s="118" t="s">
        <v>228</v>
      </c>
      <c r="H106" s="118">
        <v>26072001</v>
      </c>
      <c r="I106" s="118">
        <v>24</v>
      </c>
    </row>
    <row r="107" spans="1:9" x14ac:dyDescent="0.15">
      <c r="A107" s="118">
        <v>106</v>
      </c>
      <c r="B107" s="119">
        <v>46225</v>
      </c>
      <c r="C107" s="118" t="s">
        <v>99</v>
      </c>
      <c r="D107" s="118">
        <v>9900</v>
      </c>
      <c r="F107" s="118" t="s">
        <v>228</v>
      </c>
      <c r="H107" s="118">
        <v>26072201</v>
      </c>
      <c r="I107" s="118">
        <v>24</v>
      </c>
    </row>
    <row r="108" spans="1:9" x14ac:dyDescent="0.15">
      <c r="A108" s="118">
        <v>107</v>
      </c>
      <c r="B108" s="119">
        <v>46232</v>
      </c>
      <c r="C108" s="118" t="s">
        <v>99</v>
      </c>
      <c r="D108" s="118">
        <v>9600</v>
      </c>
      <c r="F108" s="118" t="s">
        <v>223</v>
      </c>
      <c r="H108" s="118">
        <v>26072901</v>
      </c>
      <c r="I108" s="118">
        <v>24</v>
      </c>
    </row>
    <row r="109" spans="1:9" x14ac:dyDescent="0.15">
      <c r="A109" s="118">
        <v>108</v>
      </c>
      <c r="B109" s="119">
        <v>46233</v>
      </c>
      <c r="C109" s="118" t="s">
        <v>99</v>
      </c>
      <c r="D109" s="118">
        <v>13100</v>
      </c>
      <c r="F109" s="118" t="s">
        <v>181</v>
      </c>
      <c r="H109" s="118">
        <v>26073001</v>
      </c>
      <c r="I109" s="118">
        <v>24</v>
      </c>
    </row>
    <row r="110" spans="1:9" x14ac:dyDescent="0.15">
      <c r="A110" s="118">
        <v>109</v>
      </c>
      <c r="B110" s="119">
        <v>46233</v>
      </c>
      <c r="C110" s="118" t="s">
        <v>99</v>
      </c>
      <c r="D110" s="118">
        <v>13100</v>
      </c>
      <c r="F110" s="118" t="s">
        <v>199</v>
      </c>
      <c r="H110" s="118">
        <v>26073001</v>
      </c>
      <c r="I110" s="118">
        <v>24</v>
      </c>
    </row>
    <row r="111" spans="1:9" x14ac:dyDescent="0.15">
      <c r="A111" s="118">
        <v>110</v>
      </c>
      <c r="B111" s="119">
        <v>46233</v>
      </c>
      <c r="C111" s="118" t="s">
        <v>99</v>
      </c>
      <c r="D111" s="118">
        <v>9600</v>
      </c>
      <c r="F111" s="118" t="s">
        <v>226</v>
      </c>
      <c r="H111" s="118">
        <v>26073002</v>
      </c>
      <c r="I111" s="118">
        <v>24</v>
      </c>
    </row>
    <row r="112" spans="1:9" x14ac:dyDescent="0.15">
      <c r="A112" s="118">
        <v>111</v>
      </c>
      <c r="B112" s="119">
        <v>46233</v>
      </c>
      <c r="C112" s="118" t="s">
        <v>99</v>
      </c>
      <c r="D112" s="118">
        <v>9900</v>
      </c>
      <c r="F112" s="118" t="s">
        <v>228</v>
      </c>
      <c r="H112" s="118">
        <v>26073002</v>
      </c>
      <c r="I112" s="118">
        <v>24</v>
      </c>
    </row>
    <row r="113" spans="1:9" x14ac:dyDescent="0.15">
      <c r="A113" s="118">
        <v>112</v>
      </c>
      <c r="B113" s="119">
        <v>46234</v>
      </c>
      <c r="C113" s="118" t="s">
        <v>208</v>
      </c>
      <c r="D113" s="118">
        <v>2333</v>
      </c>
      <c r="F113" s="118" t="s">
        <v>215</v>
      </c>
    </row>
    <row r="114" spans="1:9" x14ac:dyDescent="0.15">
      <c r="A114" s="118">
        <v>113</v>
      </c>
      <c r="B114" s="119">
        <v>46234</v>
      </c>
      <c r="C114" s="118" t="s">
        <v>127</v>
      </c>
      <c r="D114" s="118">
        <v>23320</v>
      </c>
      <c r="F114" s="118" t="s">
        <v>134</v>
      </c>
    </row>
    <row r="115" spans="1:9" x14ac:dyDescent="0.15">
      <c r="A115" s="118">
        <v>114</v>
      </c>
      <c r="B115" s="119">
        <v>46235</v>
      </c>
      <c r="C115" s="118" t="s">
        <v>99</v>
      </c>
      <c r="D115" s="118">
        <v>12050</v>
      </c>
      <c r="F115" s="118" t="s">
        <v>154</v>
      </c>
      <c r="H115" s="118">
        <v>26080101</v>
      </c>
      <c r="I115" s="118">
        <v>24</v>
      </c>
    </row>
    <row r="116" spans="1:9" x14ac:dyDescent="0.15">
      <c r="A116" s="118">
        <v>115</v>
      </c>
      <c r="B116" s="119">
        <v>46236</v>
      </c>
      <c r="C116" s="118" t="s">
        <v>99</v>
      </c>
      <c r="D116" s="118">
        <v>9900</v>
      </c>
      <c r="F116" s="118" t="s">
        <v>228</v>
      </c>
      <c r="H116" s="118">
        <v>26080201</v>
      </c>
      <c r="I116" s="118">
        <v>24</v>
      </c>
    </row>
    <row r="117" spans="1:9" x14ac:dyDescent="0.15">
      <c r="A117" s="118">
        <v>116</v>
      </c>
      <c r="B117" s="119">
        <v>46237</v>
      </c>
      <c r="C117" s="118" t="s">
        <v>99</v>
      </c>
      <c r="D117" s="118">
        <v>11800</v>
      </c>
      <c r="F117" s="118" t="s">
        <v>153</v>
      </c>
      <c r="H117" s="118">
        <v>26080301</v>
      </c>
      <c r="I117" s="118">
        <v>24</v>
      </c>
    </row>
    <row r="118" spans="1:9" x14ac:dyDescent="0.15">
      <c r="A118" s="118">
        <v>117</v>
      </c>
      <c r="B118" s="119">
        <v>46238</v>
      </c>
      <c r="C118" s="118" t="s">
        <v>99</v>
      </c>
      <c r="D118" s="118">
        <v>12200</v>
      </c>
      <c r="F118" s="118" t="s">
        <v>152</v>
      </c>
      <c r="H118" s="118">
        <v>26080401</v>
      </c>
      <c r="I118" s="118">
        <v>24</v>
      </c>
    </row>
    <row r="119" spans="1:9" x14ac:dyDescent="0.15">
      <c r="A119" s="118">
        <v>118</v>
      </c>
      <c r="B119" s="119">
        <v>46238</v>
      </c>
      <c r="C119" s="118" t="s">
        <v>99</v>
      </c>
      <c r="D119" s="118">
        <v>12200</v>
      </c>
      <c r="F119" s="118" t="s">
        <v>180</v>
      </c>
      <c r="H119" s="118">
        <v>26080401</v>
      </c>
      <c r="I119" s="118">
        <v>24</v>
      </c>
    </row>
    <row r="120" spans="1:9" x14ac:dyDescent="0.15">
      <c r="A120" s="118">
        <v>119</v>
      </c>
      <c r="B120" s="119">
        <v>46240</v>
      </c>
      <c r="C120" s="118" t="s">
        <v>99</v>
      </c>
      <c r="D120" s="118">
        <v>9900</v>
      </c>
      <c r="F120" s="118" t="s">
        <v>228</v>
      </c>
      <c r="H120" s="118">
        <v>26080601</v>
      </c>
      <c r="I120" s="118">
        <v>24</v>
      </c>
    </row>
    <row r="121" spans="1:9" x14ac:dyDescent="0.15">
      <c r="A121" s="118">
        <v>120</v>
      </c>
      <c r="B121" s="119">
        <v>46242</v>
      </c>
      <c r="C121" s="118" t="s">
        <v>99</v>
      </c>
      <c r="D121" s="118">
        <v>9900</v>
      </c>
      <c r="F121" s="118" t="s">
        <v>228</v>
      </c>
      <c r="H121" s="118">
        <v>26080801</v>
      </c>
      <c r="I121" s="118">
        <v>24</v>
      </c>
    </row>
    <row r="122" spans="1:9" x14ac:dyDescent="0.15">
      <c r="A122" s="118">
        <v>121</v>
      </c>
      <c r="B122" s="119">
        <v>46245</v>
      </c>
      <c r="C122" s="118" t="s">
        <v>99</v>
      </c>
      <c r="D122" s="118">
        <v>9600</v>
      </c>
      <c r="F122" s="118" t="s">
        <v>223</v>
      </c>
      <c r="H122" s="118">
        <v>26081101</v>
      </c>
      <c r="I122" s="118">
        <v>24</v>
      </c>
    </row>
    <row r="123" spans="1:9" x14ac:dyDescent="0.15">
      <c r="A123" s="118">
        <v>122</v>
      </c>
      <c r="B123" s="119">
        <v>46247</v>
      </c>
      <c r="C123" s="118" t="s">
        <v>99</v>
      </c>
      <c r="D123" s="118">
        <v>9600</v>
      </c>
      <c r="F123" s="118" t="s">
        <v>226</v>
      </c>
      <c r="H123" s="118">
        <v>26081301</v>
      </c>
      <c r="I123" s="118">
        <v>24</v>
      </c>
    </row>
    <row r="124" spans="1:9" x14ac:dyDescent="0.15">
      <c r="A124" s="118">
        <v>123</v>
      </c>
      <c r="B124" s="119">
        <v>46251</v>
      </c>
      <c r="C124" s="118" t="s">
        <v>135</v>
      </c>
      <c r="D124" s="118">
        <v>9459</v>
      </c>
      <c r="F124" s="117" t="s">
        <v>150</v>
      </c>
    </row>
    <row r="125" spans="1:9" x14ac:dyDescent="0.15">
      <c r="A125" s="118">
        <v>124</v>
      </c>
      <c r="B125" s="119">
        <v>46251</v>
      </c>
      <c r="C125" s="118" t="s">
        <v>135</v>
      </c>
      <c r="D125" s="118">
        <v>6687</v>
      </c>
      <c r="F125" s="118" t="s">
        <v>151</v>
      </c>
    </row>
    <row r="126" spans="1:9" x14ac:dyDescent="0.15">
      <c r="A126" s="118">
        <v>125</v>
      </c>
      <c r="B126" s="119">
        <v>46252</v>
      </c>
      <c r="C126" s="118" t="s">
        <v>99</v>
      </c>
      <c r="D126" s="118">
        <v>11800</v>
      </c>
      <c r="F126" s="118" t="s">
        <v>179</v>
      </c>
      <c r="H126" s="118">
        <v>26081801</v>
      </c>
      <c r="I126" s="118">
        <v>24</v>
      </c>
    </row>
    <row r="127" spans="1:9" x14ac:dyDescent="0.15">
      <c r="A127" s="118">
        <v>126</v>
      </c>
      <c r="B127" s="119">
        <v>46252</v>
      </c>
      <c r="C127" s="118" t="s">
        <v>99</v>
      </c>
      <c r="D127" s="118">
        <v>5000</v>
      </c>
      <c r="F127" s="118" t="s">
        <v>225</v>
      </c>
      <c r="H127" s="118">
        <v>26081802</v>
      </c>
      <c r="I127" s="118">
        <v>12</v>
      </c>
    </row>
    <row r="128" spans="1:9" x14ac:dyDescent="0.15">
      <c r="A128" s="118">
        <v>127</v>
      </c>
      <c r="B128" s="119">
        <v>46256</v>
      </c>
      <c r="C128" s="118" t="s">
        <v>102</v>
      </c>
      <c r="D128" s="118">
        <v>5764</v>
      </c>
      <c r="F128" s="118" t="s">
        <v>124</v>
      </c>
    </row>
    <row r="129" spans="1:9" x14ac:dyDescent="0.15">
      <c r="A129" s="118">
        <v>128</v>
      </c>
      <c r="B129" s="119">
        <v>46260</v>
      </c>
      <c r="C129" s="118" t="s">
        <v>99</v>
      </c>
      <c r="D129" s="118">
        <v>6500</v>
      </c>
      <c r="F129" s="118" t="s">
        <v>178</v>
      </c>
      <c r="H129" s="118">
        <v>26082601</v>
      </c>
      <c r="I129" s="118">
        <v>12</v>
      </c>
    </row>
    <row r="130" spans="1:9" x14ac:dyDescent="0.15">
      <c r="A130" s="118">
        <v>129</v>
      </c>
      <c r="B130" s="119">
        <v>46263</v>
      </c>
      <c r="C130" s="118" t="s">
        <v>99</v>
      </c>
      <c r="D130" s="118">
        <v>11800</v>
      </c>
      <c r="F130" s="118" t="s">
        <v>203</v>
      </c>
      <c r="H130" s="118">
        <v>26082901</v>
      </c>
      <c r="I130" s="118">
        <v>24</v>
      </c>
    </row>
    <row r="131" spans="1:9" x14ac:dyDescent="0.15">
      <c r="A131" s="118">
        <v>130</v>
      </c>
      <c r="B131" s="119">
        <v>46265</v>
      </c>
      <c r="C131" s="118" t="s">
        <v>208</v>
      </c>
      <c r="D131" s="118">
        <v>3057</v>
      </c>
      <c r="F131" s="118" t="s">
        <v>216</v>
      </c>
    </row>
    <row r="132" spans="1:9" x14ac:dyDescent="0.15">
      <c r="A132" s="118">
        <v>131</v>
      </c>
      <c r="B132" s="119">
        <v>46266</v>
      </c>
      <c r="C132" s="118" t="s">
        <v>99</v>
      </c>
      <c r="D132" s="118">
        <v>9900</v>
      </c>
      <c r="F132" s="118" t="s">
        <v>224</v>
      </c>
      <c r="H132" s="118">
        <v>26090101</v>
      </c>
      <c r="I132" s="118">
        <v>24</v>
      </c>
    </row>
    <row r="133" spans="1:9" x14ac:dyDescent="0.15">
      <c r="A133" s="118">
        <v>132</v>
      </c>
      <c r="B133" s="119">
        <v>46267</v>
      </c>
      <c r="C133" s="118" t="s">
        <v>99</v>
      </c>
      <c r="D133" s="118">
        <v>9600</v>
      </c>
      <c r="F133" s="118" t="s">
        <v>223</v>
      </c>
      <c r="H133" s="118">
        <v>26090201</v>
      </c>
      <c r="I133" s="118">
        <v>24</v>
      </c>
    </row>
    <row r="134" spans="1:9" x14ac:dyDescent="0.15">
      <c r="A134" s="118">
        <v>133</v>
      </c>
      <c r="B134" s="119">
        <v>46270</v>
      </c>
      <c r="C134" s="118" t="s">
        <v>99</v>
      </c>
      <c r="D134" s="118">
        <v>9600</v>
      </c>
      <c r="F134" s="118" t="s">
        <v>223</v>
      </c>
      <c r="H134" s="118">
        <v>26090501</v>
      </c>
      <c r="I134" s="118">
        <v>24</v>
      </c>
    </row>
    <row r="135" spans="1:9" x14ac:dyDescent="0.15">
      <c r="A135" s="118">
        <v>134</v>
      </c>
      <c r="B135" s="119">
        <v>46271</v>
      </c>
      <c r="C135" s="118" t="s">
        <v>99</v>
      </c>
      <c r="D135" s="118">
        <v>9600</v>
      </c>
      <c r="F135" s="118" t="s">
        <v>223</v>
      </c>
      <c r="H135" s="118">
        <v>26090601</v>
      </c>
      <c r="I135" s="118">
        <v>24</v>
      </c>
    </row>
    <row r="136" spans="1:9" x14ac:dyDescent="0.15">
      <c r="A136" s="118">
        <v>135</v>
      </c>
      <c r="B136" s="119">
        <v>46275</v>
      </c>
      <c r="C136" s="118" t="s">
        <v>99</v>
      </c>
      <c r="D136" s="118">
        <v>11800</v>
      </c>
      <c r="F136" s="118" t="s">
        <v>234</v>
      </c>
      <c r="H136" s="118">
        <v>26091001</v>
      </c>
      <c r="I136" s="118">
        <v>24</v>
      </c>
    </row>
    <row r="137" spans="1:9" x14ac:dyDescent="0.15">
      <c r="A137" s="118">
        <v>136</v>
      </c>
      <c r="B137" s="119">
        <v>46285</v>
      </c>
      <c r="C137" s="118" t="s">
        <v>99</v>
      </c>
      <c r="D137" s="118">
        <v>9600</v>
      </c>
      <c r="F137" s="118" t="s">
        <v>223</v>
      </c>
      <c r="H137" s="118">
        <v>26092001</v>
      </c>
      <c r="I137" s="118">
        <v>24</v>
      </c>
    </row>
    <row r="138" spans="1:9" x14ac:dyDescent="0.15">
      <c r="A138" s="118">
        <v>137</v>
      </c>
      <c r="B138" s="119">
        <v>46286</v>
      </c>
      <c r="C138" s="118" t="s">
        <v>99</v>
      </c>
      <c r="D138" s="118">
        <v>9900</v>
      </c>
      <c r="F138" s="118" t="s">
        <v>224</v>
      </c>
      <c r="H138" s="118">
        <v>26092101</v>
      </c>
      <c r="I138" s="118">
        <v>24</v>
      </c>
    </row>
    <row r="139" spans="1:9" x14ac:dyDescent="0.15">
      <c r="A139" s="118">
        <v>138</v>
      </c>
      <c r="B139" s="119">
        <v>46291</v>
      </c>
      <c r="C139" s="118" t="s">
        <v>99</v>
      </c>
      <c r="D139" s="118">
        <v>11600</v>
      </c>
      <c r="F139" s="118" t="s">
        <v>235</v>
      </c>
      <c r="H139" s="118">
        <v>26092601</v>
      </c>
      <c r="I139" s="118">
        <v>24</v>
      </c>
    </row>
    <row r="140" spans="1:9" x14ac:dyDescent="0.15">
      <c r="A140" s="118">
        <v>139</v>
      </c>
      <c r="B140" s="119">
        <v>46291</v>
      </c>
      <c r="C140" s="118" t="s">
        <v>99</v>
      </c>
      <c r="D140" s="118">
        <v>11600</v>
      </c>
      <c r="F140" s="118" t="s">
        <v>235</v>
      </c>
      <c r="H140" s="118">
        <v>26092602</v>
      </c>
      <c r="I140" s="118">
        <v>24</v>
      </c>
    </row>
    <row r="141" spans="1:9" x14ac:dyDescent="0.15">
      <c r="A141" s="118">
        <v>140</v>
      </c>
      <c r="B141" s="119">
        <v>46288</v>
      </c>
      <c r="C141" s="118" t="s">
        <v>99</v>
      </c>
      <c r="D141" s="118">
        <v>11600</v>
      </c>
      <c r="F141" s="118" t="s">
        <v>236</v>
      </c>
      <c r="H141" s="118">
        <v>26092301</v>
      </c>
      <c r="I141" s="118">
        <v>24</v>
      </c>
    </row>
  </sheetData>
  <autoFilter ref="A1:H131" xr:uid="{29F45B5A-9948-46E0-9404-B7EF9817F743}"/>
  <sortState xmlns:xlrd2="http://schemas.microsoft.com/office/spreadsheetml/2017/richdata2" ref="A2:I136">
    <sortCondition ref="B2:B136"/>
    <sortCondition ref="A2:A136"/>
  </sortState>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ortShiwakeAndReorderNo">
                <anchor moveWithCells="1" sizeWithCells="1">
                  <from>
                    <xdr:col>9</xdr:col>
                    <xdr:colOff>676275</xdr:colOff>
                    <xdr:row>0</xdr:row>
                    <xdr:rowOff>0</xdr:rowOff>
                  </from>
                  <to>
                    <xdr:col>10</xdr:col>
                    <xdr:colOff>1438275</xdr:colOff>
                    <xdr:row>1</xdr:row>
                    <xdr:rowOff>19050</xdr:rowOff>
                  </to>
                </anchor>
              </controlPr>
            </control>
          </mc:Choice>
        </mc:AlternateContent>
        <mc:AlternateContent xmlns:mc="http://schemas.openxmlformats.org/markup-compatibility/2006">
          <mc:Choice Requires="x14">
            <control shapeId="4098" r:id="rId4" name="Button 2">
              <controlPr defaultSize="0" print="0" autoFill="0" autoPict="0" macro="[0]!ScrollToBottom">
                <anchor moveWithCells="1" sizeWithCells="1">
                  <from>
                    <xdr:col>5</xdr:col>
                    <xdr:colOff>152400</xdr:colOff>
                    <xdr:row>0</xdr:row>
                    <xdr:rowOff>0</xdr:rowOff>
                  </from>
                  <to>
                    <xdr:col>5</xdr:col>
                    <xdr:colOff>1304925</xdr:colOff>
                    <xdr:row>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9BB0F-56F4-466C-B102-E7B7E8EFD24C}">
  <sheetPr codeName="Sheet5"/>
  <dimension ref="A1:I42"/>
  <sheetViews>
    <sheetView tabSelected="1" workbookViewId="0">
      <selection activeCell="E41" sqref="E41"/>
    </sheetView>
  </sheetViews>
  <sheetFormatPr defaultRowHeight="14.25" x14ac:dyDescent="0.15"/>
  <cols>
    <col min="2" max="2" width="9" style="68"/>
  </cols>
  <sheetData>
    <row r="1" spans="1:9" x14ac:dyDescent="0.15">
      <c r="A1" s="70" t="s">
        <v>35</v>
      </c>
      <c r="B1" s="68" t="s">
        <v>36</v>
      </c>
      <c r="C1" s="70" t="s">
        <v>37</v>
      </c>
      <c r="D1" s="70" t="s">
        <v>38</v>
      </c>
      <c r="H1" s="70"/>
      <c r="I1" s="70"/>
    </row>
    <row r="2" spans="1:9" x14ac:dyDescent="0.15">
      <c r="A2">
        <v>1</v>
      </c>
      <c r="B2" s="60" t="s">
        <v>67</v>
      </c>
      <c r="D2" s="60" t="s">
        <v>243</v>
      </c>
    </row>
    <row r="3" spans="1:9" x14ac:dyDescent="0.15">
      <c r="A3">
        <v>2</v>
      </c>
      <c r="B3" s="60" t="s">
        <v>66</v>
      </c>
      <c r="D3" s="60" t="s">
        <v>244</v>
      </c>
    </row>
    <row r="4" spans="1:9" x14ac:dyDescent="0.15">
      <c r="A4">
        <v>3</v>
      </c>
      <c r="B4" s="60" t="s">
        <v>240</v>
      </c>
      <c r="D4" s="60" t="s">
        <v>245</v>
      </c>
    </row>
    <row r="5" spans="1:9" x14ac:dyDescent="0.15">
      <c r="A5">
        <v>4</v>
      </c>
      <c r="B5" s="60" t="s">
        <v>68</v>
      </c>
      <c r="D5" s="60" t="s">
        <v>246</v>
      </c>
    </row>
    <row r="6" spans="1:9" x14ac:dyDescent="0.15">
      <c r="A6">
        <v>5</v>
      </c>
      <c r="B6" s="60" t="s">
        <v>241</v>
      </c>
      <c r="D6" s="60" t="s">
        <v>247</v>
      </c>
    </row>
    <row r="7" spans="1:9" x14ac:dyDescent="0.15">
      <c r="A7">
        <v>6</v>
      </c>
      <c r="B7" s="60" t="s">
        <v>116</v>
      </c>
      <c r="D7" s="60" t="s">
        <v>242</v>
      </c>
    </row>
    <row r="8" spans="1:9" x14ac:dyDescent="0.15">
      <c r="A8">
        <v>7</v>
      </c>
      <c r="B8" s="60"/>
    </row>
    <row r="9" spans="1:9" x14ac:dyDescent="0.15">
      <c r="A9">
        <v>8</v>
      </c>
      <c r="B9" s="60"/>
    </row>
    <row r="10" spans="1:9" x14ac:dyDescent="0.15">
      <c r="A10">
        <v>9</v>
      </c>
      <c r="B10" s="60"/>
    </row>
    <row r="11" spans="1:9" x14ac:dyDescent="0.15">
      <c r="A11">
        <v>10</v>
      </c>
      <c r="B11" s="60"/>
    </row>
    <row r="12" spans="1:9" x14ac:dyDescent="0.15">
      <c r="B12" s="60"/>
    </row>
    <row r="13" spans="1:9" x14ac:dyDescent="0.15">
      <c r="B13" s="60"/>
    </row>
    <row r="14" spans="1:9" x14ac:dyDescent="0.15">
      <c r="B14" s="60"/>
    </row>
    <row r="15" spans="1:9" x14ac:dyDescent="0.15">
      <c r="B15" s="60"/>
    </row>
    <row r="16" spans="1:9" x14ac:dyDescent="0.15">
      <c r="B16" s="60"/>
    </row>
    <row r="17" spans="2:2" x14ac:dyDescent="0.15">
      <c r="B17" s="60"/>
    </row>
    <row r="18" spans="2:2" x14ac:dyDescent="0.15">
      <c r="B18" s="60"/>
    </row>
    <row r="19" spans="2:2" x14ac:dyDescent="0.15">
      <c r="B19" s="60"/>
    </row>
    <row r="20" spans="2:2" x14ac:dyDescent="0.15">
      <c r="B20" s="60"/>
    </row>
    <row r="21" spans="2:2" x14ac:dyDescent="0.15">
      <c r="B21" s="60"/>
    </row>
    <row r="22" spans="2:2" x14ac:dyDescent="0.15">
      <c r="B22" s="60"/>
    </row>
    <row r="23" spans="2:2" x14ac:dyDescent="0.15">
      <c r="B23" s="60"/>
    </row>
    <row r="24" spans="2:2" x14ac:dyDescent="0.15">
      <c r="B24" s="60"/>
    </row>
    <row r="25" spans="2:2" x14ac:dyDescent="0.15">
      <c r="B25" s="61"/>
    </row>
    <row r="26" spans="2:2" x14ac:dyDescent="0.15">
      <c r="B26" s="61"/>
    </row>
    <row r="27" spans="2:2" x14ac:dyDescent="0.15">
      <c r="B27" s="61"/>
    </row>
    <row r="28" spans="2:2" x14ac:dyDescent="0.15">
      <c r="B28" s="61"/>
    </row>
    <row r="29" spans="2:2" x14ac:dyDescent="0.15">
      <c r="B29" s="61"/>
    </row>
    <row r="30" spans="2:2" x14ac:dyDescent="0.15">
      <c r="B30" s="61"/>
    </row>
    <row r="31" spans="2:2" x14ac:dyDescent="0.15">
      <c r="B31" s="61"/>
    </row>
    <row r="32" spans="2:2" x14ac:dyDescent="0.15">
      <c r="B32" s="61"/>
    </row>
    <row r="33" spans="1:4" x14ac:dyDescent="0.15">
      <c r="B33" s="60"/>
    </row>
    <row r="34" spans="1:4" x14ac:dyDescent="0.15">
      <c r="B34" s="60"/>
    </row>
    <row r="35" spans="1:4" x14ac:dyDescent="0.15">
      <c r="B35" s="60"/>
    </row>
    <row r="36" spans="1:4" x14ac:dyDescent="0.15">
      <c r="B36" s="60"/>
    </row>
    <row r="37" spans="1:4" x14ac:dyDescent="0.15">
      <c r="B37" s="60"/>
    </row>
    <row r="39" spans="1:4" x14ac:dyDescent="0.15">
      <c r="A39">
        <v>38</v>
      </c>
      <c r="B39" t="s">
        <v>123</v>
      </c>
      <c r="D39" t="s">
        <v>123</v>
      </c>
    </row>
    <row r="40" spans="1:4" x14ac:dyDescent="0.15">
      <c r="A40">
        <v>39</v>
      </c>
      <c r="B40" t="s">
        <v>126</v>
      </c>
      <c r="D40" t="s">
        <v>126</v>
      </c>
    </row>
    <row r="41" spans="1:4" x14ac:dyDescent="0.15">
      <c r="A41">
        <v>40</v>
      </c>
      <c r="B41" s="70" t="s">
        <v>248</v>
      </c>
      <c r="D41" s="70" t="s">
        <v>248</v>
      </c>
    </row>
    <row r="42" spans="1:4" x14ac:dyDescent="0.15">
      <c r="A42">
        <v>41</v>
      </c>
      <c r="B42" t="s">
        <v>207</v>
      </c>
      <c r="D42" t="s">
        <v>207</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F55D-932B-4231-B2BD-3CB770ED9EDB}">
  <sheetPr codeName="Sheet6"/>
  <dimension ref="A1:C33"/>
  <sheetViews>
    <sheetView workbookViewId="0">
      <selection activeCell="D4" sqref="D4"/>
    </sheetView>
  </sheetViews>
  <sheetFormatPr defaultRowHeight="14.25" x14ac:dyDescent="0.15"/>
  <cols>
    <col min="2" max="2" width="22.75" bestFit="1" customWidth="1"/>
    <col min="3" max="3" width="11.625" bestFit="1" customWidth="1"/>
  </cols>
  <sheetData>
    <row r="1" spans="1:3" x14ac:dyDescent="0.15">
      <c r="A1" s="70" t="s">
        <v>39</v>
      </c>
      <c r="B1" s="70" t="s">
        <v>40</v>
      </c>
      <c r="C1" s="70" t="s">
        <v>65</v>
      </c>
    </row>
    <row r="2" spans="1:3" x14ac:dyDescent="0.15">
      <c r="A2" s="70">
        <v>100</v>
      </c>
      <c r="B2" s="70" t="s">
        <v>44</v>
      </c>
      <c r="C2">
        <f>+SUMIFS(仕訳!D:D,仕訳!C:C,B2)</f>
        <v>1061150</v>
      </c>
    </row>
    <row r="3" spans="1:3" x14ac:dyDescent="0.15">
      <c r="A3" s="70">
        <v>101</v>
      </c>
      <c r="B3" s="70" t="s">
        <v>49</v>
      </c>
      <c r="C3">
        <f>+SUMIFS(仕訳!D:D,仕訳!C:C,B3)</f>
        <v>0</v>
      </c>
    </row>
    <row r="4" spans="1:3" x14ac:dyDescent="0.15">
      <c r="A4">
        <v>200</v>
      </c>
      <c r="B4" s="70" t="s">
        <v>47</v>
      </c>
      <c r="C4">
        <f>+SUMIFS(仕訳!D:D,仕訳!C:C,B4)</f>
        <v>0</v>
      </c>
    </row>
    <row r="5" spans="1:3" x14ac:dyDescent="0.15">
      <c r="A5">
        <v>201</v>
      </c>
      <c r="B5" s="70" t="s">
        <v>103</v>
      </c>
      <c r="C5">
        <f>+SUMIFS(仕訳!D:D,仕訳!C:C,B5)</f>
        <v>5764</v>
      </c>
    </row>
    <row r="6" spans="1:3" x14ac:dyDescent="0.15">
      <c r="A6">
        <v>202</v>
      </c>
      <c r="B6" s="70" t="s">
        <v>104</v>
      </c>
      <c r="C6">
        <f>+SUMIFS(仕訳!D:D,仕訳!C:C,B6)</f>
        <v>0</v>
      </c>
    </row>
    <row r="7" spans="1:3" x14ac:dyDescent="0.15">
      <c r="A7">
        <v>203</v>
      </c>
      <c r="B7" s="70" t="s">
        <v>105</v>
      </c>
      <c r="C7">
        <f>+SUMIFS(仕訳!D:D,仕訳!C:C,B7)</f>
        <v>0</v>
      </c>
    </row>
    <row r="8" spans="1:3" x14ac:dyDescent="0.15">
      <c r="A8">
        <v>204</v>
      </c>
      <c r="B8" s="70" t="s">
        <v>106</v>
      </c>
      <c r="C8">
        <f>+SUMIFS(仕訳!D:D,仕訳!C:C,B8)</f>
        <v>0</v>
      </c>
    </row>
    <row r="9" spans="1:3" x14ac:dyDescent="0.15">
      <c r="A9">
        <v>205</v>
      </c>
      <c r="B9" s="70" t="s">
        <v>107</v>
      </c>
      <c r="C9">
        <f>+SUMIFS(仕訳!D:D,仕訳!C:C,B9)</f>
        <v>0</v>
      </c>
    </row>
    <row r="10" spans="1:3" x14ac:dyDescent="0.15">
      <c r="A10">
        <v>206</v>
      </c>
      <c r="B10" s="70" t="s">
        <v>108</v>
      </c>
      <c r="C10">
        <f>+SUMIFS(仕訳!D:D,仕訳!C:C,B10)</f>
        <v>0</v>
      </c>
    </row>
    <row r="11" spans="1:3" x14ac:dyDescent="0.15">
      <c r="A11">
        <v>300</v>
      </c>
      <c r="B11" s="70" t="s">
        <v>45</v>
      </c>
      <c r="C11">
        <f>+SUMIFS(仕訳!D:D,仕訳!C:C,B11)</f>
        <v>19120</v>
      </c>
    </row>
    <row r="12" spans="1:3" x14ac:dyDescent="0.15">
      <c r="A12">
        <v>301</v>
      </c>
      <c r="B12" s="70" t="s">
        <v>46</v>
      </c>
      <c r="C12">
        <f>+SUMIFS(仕訳!D:D,仕訳!C:C,B12)</f>
        <v>77015</v>
      </c>
    </row>
    <row r="13" spans="1:3" x14ac:dyDescent="0.15">
      <c r="A13">
        <v>400</v>
      </c>
      <c r="B13" s="70" t="s">
        <v>48</v>
      </c>
      <c r="C13">
        <f>+SUMIFS(仕訳!D:D,仕訳!C:C,B13)</f>
        <v>0</v>
      </c>
    </row>
    <row r="14" spans="1:3" x14ac:dyDescent="0.15">
      <c r="A14">
        <v>401</v>
      </c>
      <c r="B14" s="70" t="s">
        <v>50</v>
      </c>
      <c r="C14">
        <f>+SUMIFS(仕訳!D:D,仕訳!C:C,B14)</f>
        <v>0</v>
      </c>
    </row>
    <row r="15" spans="1:3" x14ac:dyDescent="0.15">
      <c r="A15">
        <v>402</v>
      </c>
      <c r="B15" s="70" t="s">
        <v>110</v>
      </c>
      <c r="C15">
        <f>+SUMIFS(仕訳!D:D,仕訳!C:C,B15)</f>
        <v>0</v>
      </c>
    </row>
    <row r="16" spans="1:3" x14ac:dyDescent="0.15">
      <c r="A16">
        <v>403</v>
      </c>
      <c r="B16" s="70" t="s">
        <v>109</v>
      </c>
      <c r="C16">
        <f>+SUMIFS(仕訳!D:D,仕訳!C:C,B16)</f>
        <v>0</v>
      </c>
    </row>
    <row r="17" spans="1:3" x14ac:dyDescent="0.15">
      <c r="A17">
        <v>404</v>
      </c>
      <c r="B17" s="70" t="s">
        <v>51</v>
      </c>
      <c r="C17">
        <f>+SUMIFS(仕訳!D:D,仕訳!C:C,B17)</f>
        <v>128260</v>
      </c>
    </row>
    <row r="18" spans="1:3" x14ac:dyDescent="0.15">
      <c r="A18">
        <v>405</v>
      </c>
      <c r="B18" s="70" t="s">
        <v>52</v>
      </c>
      <c r="C18">
        <f>+SUMIFS(仕訳!D:D,仕訳!C:C,B18)</f>
        <v>0</v>
      </c>
    </row>
    <row r="19" spans="1:3" x14ac:dyDescent="0.15">
      <c r="A19">
        <v>406</v>
      </c>
      <c r="B19" s="70" t="s">
        <v>53</v>
      </c>
      <c r="C19">
        <f>+SUMIFS(仕訳!D:D,仕訳!C:C,B19)</f>
        <v>0</v>
      </c>
    </row>
    <row r="20" spans="1:3" x14ac:dyDescent="0.15">
      <c r="A20">
        <v>407</v>
      </c>
      <c r="B20" s="70" t="s">
        <v>54</v>
      </c>
      <c r="C20">
        <f>+SUMIFS(仕訳!D:D,仕訳!C:C,B20)</f>
        <v>0</v>
      </c>
    </row>
    <row r="21" spans="1:3" x14ac:dyDescent="0.15">
      <c r="A21">
        <v>408</v>
      </c>
      <c r="B21" s="70" t="s">
        <v>59</v>
      </c>
      <c r="C21">
        <f>+SUMIFS(仕訳!D:D,仕訳!C:C,B21)</f>
        <v>0</v>
      </c>
    </row>
    <row r="22" spans="1:3" x14ac:dyDescent="0.15">
      <c r="A22">
        <v>409</v>
      </c>
      <c r="B22" s="70" t="s">
        <v>112</v>
      </c>
      <c r="C22">
        <f>+SUMIFS(仕訳!D:D,仕訳!C:C,B22)</f>
        <v>0</v>
      </c>
    </row>
    <row r="23" spans="1:3" x14ac:dyDescent="0.15">
      <c r="A23">
        <v>410</v>
      </c>
      <c r="B23" s="70" t="s">
        <v>113</v>
      </c>
      <c r="C23">
        <f>+SUMIFS(仕訳!D:D,仕訳!C:C,B23)</f>
        <v>0</v>
      </c>
    </row>
    <row r="24" spans="1:3" x14ac:dyDescent="0.15">
      <c r="A24">
        <v>500</v>
      </c>
      <c r="B24" s="70" t="s">
        <v>55</v>
      </c>
      <c r="C24">
        <f>+SUMIFS(仕訳!D:D,仕訳!C:C,B24)</f>
        <v>0</v>
      </c>
    </row>
    <row r="25" spans="1:3" x14ac:dyDescent="0.15">
      <c r="A25">
        <v>501</v>
      </c>
      <c r="B25" s="70" t="s">
        <v>56</v>
      </c>
      <c r="C25">
        <f>+SUMIFS(仕訳!D:D,仕訳!C:C,B25)</f>
        <v>0</v>
      </c>
    </row>
    <row r="26" spans="1:3" x14ac:dyDescent="0.15">
      <c r="A26">
        <v>502</v>
      </c>
      <c r="B26" s="70" t="s">
        <v>57</v>
      </c>
      <c r="C26">
        <f>+SUMIFS(仕訳!D:D,仕訳!C:C,B26)</f>
        <v>0</v>
      </c>
    </row>
    <row r="27" spans="1:3" x14ac:dyDescent="0.15">
      <c r="A27">
        <v>503</v>
      </c>
      <c r="B27" s="70" t="s">
        <v>58</v>
      </c>
      <c r="C27">
        <f>+SUMIFS(仕訳!D:D,仕訳!C:C,B27)</f>
        <v>0</v>
      </c>
    </row>
    <row r="28" spans="1:3" x14ac:dyDescent="0.15">
      <c r="A28">
        <v>504</v>
      </c>
      <c r="B28" s="70" t="s">
        <v>111</v>
      </c>
      <c r="C28">
        <f>+SUMIFS(仕訳!D:D,仕訳!C:C,B28)</f>
        <v>0</v>
      </c>
    </row>
    <row r="29" spans="1:3" x14ac:dyDescent="0.15">
      <c r="A29">
        <v>600</v>
      </c>
      <c r="B29" s="70" t="s">
        <v>60</v>
      </c>
      <c r="C29">
        <f>+SUMIFS(仕訳!D:D,仕訳!C:C,B29)</f>
        <v>0</v>
      </c>
    </row>
    <row r="30" spans="1:3" x14ac:dyDescent="0.15">
      <c r="A30">
        <v>601</v>
      </c>
      <c r="B30" s="70" t="s">
        <v>61</v>
      </c>
      <c r="C30">
        <f>+SUMIFS(仕訳!D:D,仕訳!C:C,B30)</f>
        <v>0</v>
      </c>
    </row>
    <row r="31" spans="1:3" x14ac:dyDescent="0.15">
      <c r="A31">
        <v>602</v>
      </c>
      <c r="B31" s="70" t="s">
        <v>62</v>
      </c>
      <c r="C31">
        <f>+SUMIFS(仕訳!D:D,仕訳!C:C,B31)</f>
        <v>0</v>
      </c>
    </row>
    <row r="32" spans="1:3" x14ac:dyDescent="0.15">
      <c r="A32">
        <v>603</v>
      </c>
      <c r="B32" s="70" t="s">
        <v>63</v>
      </c>
      <c r="C32">
        <f>+SUMIFS(仕訳!D:D,仕訳!C:C,B32)</f>
        <v>0</v>
      </c>
    </row>
    <row r="33" spans="1:3" x14ac:dyDescent="0.15">
      <c r="A33">
        <v>604</v>
      </c>
      <c r="B33" s="70" t="s">
        <v>64</v>
      </c>
      <c r="C33">
        <f>+SUMIFS(仕訳!D:D,仕訳!C:C,B33)</f>
        <v>0</v>
      </c>
    </row>
  </sheetData>
  <sortState xmlns:xlrd2="http://schemas.microsoft.com/office/spreadsheetml/2017/richdata2" ref="A2:C33">
    <sortCondition ref="A1:A33"/>
  </sortState>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B80-57E6-4D75-928F-9B8A02EAE874}">
  <sheetPr codeName="Sheet7"/>
  <dimension ref="A1:D9"/>
  <sheetViews>
    <sheetView workbookViewId="0">
      <selection activeCell="C3" sqref="C3"/>
    </sheetView>
  </sheetViews>
  <sheetFormatPr defaultRowHeight="14.25" x14ac:dyDescent="0.15"/>
  <cols>
    <col min="1" max="1" width="26.5" bestFit="1" customWidth="1"/>
    <col min="3" max="4" width="16.5" customWidth="1"/>
  </cols>
  <sheetData>
    <row r="1" spans="1:4" x14ac:dyDescent="0.15">
      <c r="A1" s="70" t="s">
        <v>41</v>
      </c>
      <c r="B1" s="70" t="s">
        <v>33</v>
      </c>
      <c r="C1" s="70" t="s">
        <v>73</v>
      </c>
      <c r="D1" s="70" t="s">
        <v>74</v>
      </c>
    </row>
    <row r="2" spans="1:4" x14ac:dyDescent="0.15">
      <c r="A2" s="70" t="s">
        <v>42</v>
      </c>
      <c r="B2">
        <v>0.1</v>
      </c>
      <c r="C2">
        <f>SUMIFS(仕訳!$D:$D, 仕訳!$G:$G, $A2, 仕訳!C:C, "仮受消費税")</f>
        <v>0</v>
      </c>
      <c r="D2">
        <f>SUMIFS(仕訳!$D:$D, 仕訳!$G:$G, $A2, 仕訳!C:C, "仮払消費税")</f>
        <v>0</v>
      </c>
    </row>
    <row r="3" spans="1:4" x14ac:dyDescent="0.15">
      <c r="A3" s="70" t="s">
        <v>43</v>
      </c>
      <c r="B3">
        <v>0.1</v>
      </c>
      <c r="C3">
        <f>SUMIFS(仕訳!D:D, 仕訳!G:G, A3, 仕訳!C:C, "仮受消費税")</f>
        <v>0</v>
      </c>
      <c r="D3">
        <f>SUMIFS(仕訳!$D:$D, 仕訳!$G:$G, $A3, 仕訳!C:C, "仮払消費税")</f>
        <v>0</v>
      </c>
    </row>
    <row r="4" spans="1:4" x14ac:dyDescent="0.15">
      <c r="A4" s="70" t="s">
        <v>167</v>
      </c>
      <c r="B4">
        <v>0.08</v>
      </c>
      <c r="C4">
        <f>SUMIFS(仕訳!D:D, 仕訳!G:G, A4, 仕訳!C:C, "仮受消費税")</f>
        <v>0</v>
      </c>
      <c r="D4">
        <f>SUMIFS(仕訳!$D:$D, 仕訳!$G:$G, $A4, 仕訳!C:C, "仮払消費税")</f>
        <v>0</v>
      </c>
    </row>
    <row r="5" spans="1:4" x14ac:dyDescent="0.15">
      <c r="A5" s="70" t="s">
        <v>168</v>
      </c>
      <c r="B5">
        <v>0.08</v>
      </c>
      <c r="C5">
        <f>SUMIFS(仕訳!D:D, 仕訳!G:G, A5, 仕訳!C:C, "仮受消費税")</f>
        <v>0</v>
      </c>
      <c r="D5">
        <f>SUMIFS(仕訳!$D:$D, 仕訳!$G:$G, $A5, 仕訳!C:C, "仮払消費税")</f>
        <v>0</v>
      </c>
    </row>
    <row r="6" spans="1:4" x14ac:dyDescent="0.15">
      <c r="A6" s="70" t="s">
        <v>170</v>
      </c>
      <c r="B6">
        <v>0.1</v>
      </c>
      <c r="C6">
        <f>SUMIFS(仕訳!D:D, 仕訳!G:G, A6, 仕訳!C:C, "仮受消費税")</f>
        <v>0</v>
      </c>
      <c r="D6">
        <f>SUMIFS(仕訳!$D:$D, 仕訳!$G:$G, $A6, 仕訳!C:C, "仮払消費税")</f>
        <v>0</v>
      </c>
    </row>
    <row r="7" spans="1:4" x14ac:dyDescent="0.15">
      <c r="A7" s="126" t="s">
        <v>164</v>
      </c>
      <c r="B7">
        <v>0.08</v>
      </c>
      <c r="C7">
        <f>SUMIFS(仕訳!D:D, 仕訳!G:G, A7, 仕訳!C:C, "仮受消費税")</f>
        <v>0</v>
      </c>
      <c r="D7">
        <f>SUMIFS(仕訳!$D:$D, 仕訳!$G:$G, $A7, 仕訳!C:C, "仮払消費税")</f>
        <v>0</v>
      </c>
    </row>
    <row r="8" spans="1:4" x14ac:dyDescent="0.15">
      <c r="A8" s="126" t="s">
        <v>169</v>
      </c>
      <c r="B8">
        <v>0.01</v>
      </c>
      <c r="C8">
        <f>SUMIFS(仕訳!D:D, 仕訳!G:G, A8, 仕訳!C:C, "仮受消費税")</f>
        <v>0</v>
      </c>
      <c r="D8">
        <f>SUMIFS(仕訳!$D:$D, 仕訳!$G:$G, $A8, 仕訳!C:C, "仮払消費税")</f>
        <v>0</v>
      </c>
    </row>
    <row r="9" spans="1:4" x14ac:dyDescent="0.15">
      <c r="A9" s="70" t="s">
        <v>71</v>
      </c>
      <c r="B9">
        <v>0</v>
      </c>
      <c r="C9">
        <f>SUMIFS(仕訳!D:D, 仕訳!G:G, A9, 仕訳!C:C, "仮受消費税")</f>
        <v>0</v>
      </c>
      <c r="D9">
        <f>SUMIFS(仕訳!$D:$D, 仕訳!$G:$G, $A9, 仕訳!C:C, "仮払消費税")</f>
        <v>0</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88093-863F-4D9C-B2C8-ECD144DE30F5}">
  <sheetPr codeName="Sheet1"/>
  <dimension ref="A1:J11"/>
  <sheetViews>
    <sheetView workbookViewId="0">
      <selection activeCell="D3" sqref="D3"/>
    </sheetView>
  </sheetViews>
  <sheetFormatPr defaultRowHeight="14.25" x14ac:dyDescent="0.15"/>
  <cols>
    <col min="1" max="1" width="14.875" customWidth="1"/>
    <col min="2" max="3" width="14.875" style="72" customWidth="1"/>
    <col min="4" max="4" width="14.875" style="82" customWidth="1"/>
    <col min="5" max="7" width="14.875" style="72" customWidth="1"/>
    <col min="8" max="9" width="14.875" style="82" customWidth="1"/>
    <col min="10" max="10" width="14.875" style="72" customWidth="1"/>
  </cols>
  <sheetData>
    <row r="1" spans="1:10" s="72" customFormat="1" x14ac:dyDescent="0.15">
      <c r="A1" s="74" t="s">
        <v>75</v>
      </c>
      <c r="B1" s="71" t="s">
        <v>76</v>
      </c>
      <c r="C1" s="71" t="s">
        <v>77</v>
      </c>
      <c r="D1" s="81" t="s">
        <v>78</v>
      </c>
      <c r="E1" s="71" t="s">
        <v>79</v>
      </c>
      <c r="F1" s="71" t="s">
        <v>80</v>
      </c>
      <c r="G1" s="71" t="s">
        <v>81</v>
      </c>
      <c r="H1" s="81" t="s">
        <v>82</v>
      </c>
      <c r="I1" s="81" t="s">
        <v>83</v>
      </c>
      <c r="J1" s="73" t="s">
        <v>84</v>
      </c>
    </row>
    <row r="2" spans="1:10" x14ac:dyDescent="0.15">
      <c r="A2" s="75" t="s">
        <v>85</v>
      </c>
      <c r="B2" s="76" t="s">
        <v>88</v>
      </c>
      <c r="C2" s="72">
        <v>1</v>
      </c>
      <c r="D2" s="82">
        <v>2000000</v>
      </c>
      <c r="E2" s="76" t="s">
        <v>91</v>
      </c>
      <c r="F2" s="76" t="s">
        <v>92</v>
      </c>
      <c r="G2" s="72">
        <v>0.14299999999999999</v>
      </c>
      <c r="H2" s="82">
        <v>286000</v>
      </c>
      <c r="I2" s="82">
        <f>1428000-286000</f>
        <v>1142000</v>
      </c>
      <c r="J2" s="77"/>
    </row>
    <row r="3" spans="1:10" x14ac:dyDescent="0.15">
      <c r="A3" s="75" t="s">
        <v>86</v>
      </c>
      <c r="B3" s="76" t="s">
        <v>89</v>
      </c>
      <c r="C3" s="72">
        <v>1</v>
      </c>
      <c r="D3" s="82">
        <v>2600000</v>
      </c>
      <c r="E3" s="76" t="s">
        <v>91</v>
      </c>
      <c r="F3" s="76" t="s">
        <v>92</v>
      </c>
      <c r="G3" s="72">
        <v>0.14299999999999999</v>
      </c>
      <c r="H3" s="82">
        <v>371800</v>
      </c>
      <c r="I3" s="82">
        <f>1428000-371800</f>
        <v>1056200</v>
      </c>
      <c r="J3" s="77"/>
    </row>
    <row r="4" spans="1:10" x14ac:dyDescent="0.15">
      <c r="A4" s="75" t="s">
        <v>87</v>
      </c>
      <c r="B4" s="76" t="s">
        <v>90</v>
      </c>
      <c r="C4" s="72">
        <v>1</v>
      </c>
      <c r="D4" s="82">
        <v>350000</v>
      </c>
      <c r="E4" s="76" t="s">
        <v>91</v>
      </c>
      <c r="F4" s="76" t="s">
        <v>93</v>
      </c>
      <c r="G4" s="72">
        <v>0.16700000000000001</v>
      </c>
      <c r="H4" s="82">
        <v>43138</v>
      </c>
      <c r="I4" s="82">
        <v>0</v>
      </c>
      <c r="J4" s="129" t="s">
        <v>194</v>
      </c>
    </row>
    <row r="5" spans="1:10" x14ac:dyDescent="0.15">
      <c r="A5" s="75" t="s">
        <v>190</v>
      </c>
      <c r="B5" s="76" t="s">
        <v>191</v>
      </c>
      <c r="C5" s="72">
        <v>1</v>
      </c>
      <c r="D5" s="82">
        <v>289000</v>
      </c>
      <c r="E5" s="76" t="s">
        <v>192</v>
      </c>
      <c r="F5" s="76" t="s">
        <v>193</v>
      </c>
      <c r="G5" s="72">
        <v>0.14299999999999999</v>
      </c>
      <c r="H5" s="82">
        <v>41317</v>
      </c>
      <c r="I5" s="82">
        <f>247673-41317</f>
        <v>206356</v>
      </c>
      <c r="J5" s="77"/>
    </row>
    <row r="6" spans="1:10" x14ac:dyDescent="0.15">
      <c r="A6" s="78" t="s">
        <v>94</v>
      </c>
      <c r="B6" s="79" t="s">
        <v>95</v>
      </c>
      <c r="C6" s="79" t="s">
        <v>97</v>
      </c>
      <c r="D6" s="83" t="s">
        <v>97</v>
      </c>
      <c r="E6" s="79" t="s">
        <v>97</v>
      </c>
      <c r="F6" s="79" t="s">
        <v>97</v>
      </c>
      <c r="G6" s="79" t="s">
        <v>97</v>
      </c>
      <c r="H6" s="83" t="s">
        <v>97</v>
      </c>
      <c r="I6" s="83" t="s">
        <v>96</v>
      </c>
      <c r="J6" s="80"/>
    </row>
    <row r="10" spans="1:10" x14ac:dyDescent="0.15">
      <c r="G10"/>
    </row>
    <row r="11" spans="1:10" x14ac:dyDescent="0.15">
      <c r="G11"/>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76889-F801-4B72-BC7B-BD5C384E519F}">
  <sheetPr codeName="Sheet9">
    <pageSetUpPr fitToPage="1"/>
  </sheetPr>
  <dimension ref="A1:IU147"/>
  <sheetViews>
    <sheetView showZeros="0" showOutlineSymbols="0" zoomScale="115" zoomScaleNormal="115" workbookViewId="0">
      <selection activeCell="H10" sqref="H10"/>
    </sheetView>
  </sheetViews>
  <sheetFormatPr defaultColWidth="10.75" defaultRowHeight="14.25" x14ac:dyDescent="0.15"/>
  <cols>
    <col min="1" max="1" width="6.125" style="4" customWidth="1"/>
    <col min="2" max="2" width="3.625" style="4" customWidth="1"/>
    <col min="3" max="3" width="2.625" style="4" customWidth="1"/>
    <col min="4" max="5" width="11.625" style="4" customWidth="1"/>
    <col min="6" max="6" width="6.625" style="4" customWidth="1"/>
    <col min="7" max="7" width="9.5" style="4" customWidth="1"/>
    <col min="8" max="8" width="11.625" style="4" customWidth="1"/>
    <col min="9" max="9" width="23.875" style="4" customWidth="1"/>
    <col min="10" max="10" width="5.625" style="4" customWidth="1"/>
    <col min="11" max="12" width="2.625" style="4" customWidth="1"/>
    <col min="13" max="13" width="12" style="4" customWidth="1"/>
    <col min="14" max="14" width="6.125" style="88" customWidth="1"/>
    <col min="15" max="15" width="22" style="88" hidden="1" customWidth="1"/>
    <col min="16" max="16" width="15.5" style="88" customWidth="1"/>
    <col min="17" max="17" width="7" style="61" customWidth="1"/>
    <col min="18" max="18" width="2.75" style="4" customWidth="1"/>
    <col min="19" max="19" width="5.625" style="4" customWidth="1"/>
    <col min="20" max="20" width="10.625" style="61" customWidth="1"/>
    <col min="21" max="21" width="10.625" style="4" customWidth="1"/>
    <col min="22" max="255" width="10.625" style="5" customWidth="1"/>
  </cols>
  <sheetData>
    <row r="1" spans="1:21" s="1" customFormat="1" ht="28.5" x14ac:dyDescent="0.3">
      <c r="A1" s="6"/>
      <c r="B1" s="7"/>
      <c r="C1" s="7"/>
      <c r="D1" s="8" t="s">
        <v>2</v>
      </c>
      <c r="E1" s="9" t="s">
        <v>3</v>
      </c>
      <c r="F1" s="7"/>
      <c r="G1" s="10" t="s">
        <v>4</v>
      </c>
      <c r="H1" s="11">
        <v>26082401</v>
      </c>
      <c r="I1" s="92"/>
      <c r="J1" s="57" t="s">
        <v>1</v>
      </c>
      <c r="K1" s="58"/>
      <c r="L1" s="58"/>
      <c r="M1" s="58"/>
      <c r="N1" s="53" t="s">
        <v>20</v>
      </c>
      <c r="O1" s="69"/>
      <c r="P1" s="69"/>
      <c r="Q1" s="60"/>
      <c r="R1" s="61"/>
      <c r="S1" s="61"/>
      <c r="T1" s="61"/>
      <c r="U1" s="61"/>
    </row>
    <row r="2" spans="1:21" s="1" customFormat="1" x14ac:dyDescent="0.15">
      <c r="A2" s="12" t="s">
        <v>6</v>
      </c>
      <c r="B2" s="13">
        <v>1</v>
      </c>
      <c r="C2" s="14"/>
      <c r="D2" s="14"/>
      <c r="E2" s="7"/>
      <c r="F2" s="7"/>
      <c r="G2" s="7"/>
      <c r="H2" s="7"/>
      <c r="I2" s="93">
        <f ca="1">+IF(OR(M2="当日",M2=0),TODAY(),M2)</f>
        <v>46258</v>
      </c>
      <c r="J2" s="58"/>
      <c r="K2" s="58"/>
      <c r="L2" s="58"/>
      <c r="M2" s="130">
        <v>46258</v>
      </c>
      <c r="N2" s="53" t="s">
        <v>0</v>
      </c>
      <c r="O2" s="69"/>
      <c r="P2" s="69"/>
      <c r="Q2" s="60"/>
      <c r="R2" s="61"/>
      <c r="S2" s="61"/>
      <c r="T2" s="61"/>
      <c r="U2" s="61"/>
    </row>
    <row r="3" spans="1:21" s="1" customFormat="1" ht="21" x14ac:dyDescent="0.2">
      <c r="A3" s="47">
        <f>VLOOKUP(B2,N4:P280,2)</f>
        <v>0</v>
      </c>
      <c r="B3" s="13"/>
      <c r="C3" s="13"/>
      <c r="D3" s="13"/>
      <c r="E3" s="13"/>
      <c r="F3" s="15" t="s">
        <v>1</v>
      </c>
      <c r="G3" s="9"/>
      <c r="H3" s="7"/>
      <c r="I3" s="7"/>
      <c r="J3" s="58"/>
      <c r="K3" s="58"/>
      <c r="L3" s="58"/>
      <c r="M3" s="59" t="s">
        <v>21</v>
      </c>
      <c r="N3" s="53" t="s">
        <v>22</v>
      </c>
      <c r="O3" s="69"/>
      <c r="P3" s="69"/>
      <c r="Q3" s="60"/>
      <c r="R3" s="61"/>
      <c r="S3" s="61"/>
      <c r="T3" s="61"/>
      <c r="U3" s="61"/>
    </row>
    <row r="4" spans="1:21" s="1" customFormat="1" x14ac:dyDescent="0.15">
      <c r="A4" s="7"/>
      <c r="B4" s="7"/>
      <c r="C4" s="7"/>
      <c r="D4" s="7"/>
      <c r="E4" s="7"/>
      <c r="F4" s="7"/>
      <c r="G4" s="7" t="s">
        <v>238</v>
      </c>
      <c r="H4" s="7"/>
      <c r="I4" s="7"/>
      <c r="J4" s="58"/>
      <c r="K4" s="58"/>
      <c r="L4" s="58"/>
      <c r="M4" s="58"/>
      <c r="N4" s="69" t="s">
        <v>23</v>
      </c>
      <c r="O4" s="69" t="s">
        <v>37</v>
      </c>
      <c r="P4" s="69" t="s">
        <v>72</v>
      </c>
      <c r="Q4" s="60"/>
      <c r="R4" s="61"/>
      <c r="S4" s="61" t="s">
        <v>198</v>
      </c>
      <c r="T4" s="61" t="s">
        <v>26</v>
      </c>
      <c r="U4" s="61"/>
    </row>
    <row r="5" spans="1:21" s="1" customFormat="1" ht="17.25" x14ac:dyDescent="0.2">
      <c r="A5" s="91" t="str">
        <f>+VLOOKUP(B2,N4:Q267,3)&amp;"  様"</f>
        <v>佐藤  様</v>
      </c>
      <c r="B5" s="13"/>
      <c r="C5" s="13"/>
      <c r="D5" s="13"/>
      <c r="E5" s="13"/>
      <c r="F5" s="7"/>
      <c r="G5" s="94" t="s">
        <v>239</v>
      </c>
      <c r="H5" s="9"/>
      <c r="I5" s="7"/>
      <c r="J5" s="58"/>
      <c r="K5" s="58"/>
      <c r="L5" s="58"/>
      <c r="M5" s="58"/>
      <c r="N5" s="69">
        <v>1</v>
      </c>
      <c r="O5" s="69"/>
      <c r="P5" s="60" t="str">
        <f>+相手先マスタ!B2</f>
        <v>佐藤</v>
      </c>
      <c r="Q5" s="60" t="str">
        <f>+相手先マスタ!D2</f>
        <v>サトウ</v>
      </c>
      <c r="R5" s="61"/>
      <c r="S5" s="61">
        <v>1</v>
      </c>
      <c r="T5" s="61" t="s">
        <v>27</v>
      </c>
      <c r="U5" s="61"/>
    </row>
    <row r="6" spans="1:21" s="1" customFormat="1" ht="14.25" customHeight="1" x14ac:dyDescent="0.15">
      <c r="A6" s="6"/>
      <c r="B6" s="6"/>
      <c r="C6" s="6"/>
      <c r="D6" s="6"/>
      <c r="E6" s="6"/>
      <c r="F6" s="6"/>
      <c r="G6" s="6"/>
      <c r="H6" s="131" t="s">
        <v>237</v>
      </c>
      <c r="I6" s="132"/>
      <c r="J6" s="60"/>
      <c r="K6" s="60"/>
      <c r="L6" s="60"/>
      <c r="M6" s="60"/>
      <c r="N6" s="69">
        <v>2</v>
      </c>
      <c r="O6" s="69"/>
      <c r="P6" s="60" t="str">
        <f>+相手先マスタ!B3</f>
        <v>鈴木</v>
      </c>
      <c r="Q6" s="60" t="str">
        <f>+相手先マスタ!D3</f>
        <v>スズキ</v>
      </c>
      <c r="R6" s="61"/>
      <c r="S6" s="61">
        <v>2</v>
      </c>
      <c r="T6" s="61" t="s">
        <v>28</v>
      </c>
      <c r="U6" s="61"/>
    </row>
    <row r="7" spans="1:21" s="1" customFormat="1" ht="14.25" customHeight="1" x14ac:dyDescent="0.15">
      <c r="A7" s="6" t="s">
        <v>7</v>
      </c>
      <c r="B7" s="6"/>
      <c r="C7" s="6"/>
      <c r="D7" s="7"/>
      <c r="E7" s="7"/>
      <c r="F7" s="7"/>
      <c r="G7" s="7"/>
      <c r="H7" s="133"/>
      <c r="I7" s="133"/>
      <c r="J7" s="58"/>
      <c r="K7" s="58"/>
      <c r="L7" s="58"/>
      <c r="M7" s="60" t="str">
        <f>+"納品書"&amp;H1&amp;M8</f>
        <v>納品書26082401サトウ</v>
      </c>
      <c r="N7" s="69">
        <v>3</v>
      </c>
      <c r="O7" s="69"/>
      <c r="P7" s="60" t="str">
        <f>+相手先マスタ!B4</f>
        <v>高橋</v>
      </c>
      <c r="Q7" s="60" t="str">
        <f>+相手先マスタ!D4</f>
        <v>タカハシ</v>
      </c>
      <c r="R7" s="61"/>
      <c r="S7" s="61">
        <v>3</v>
      </c>
      <c r="T7" s="61" t="s">
        <v>114</v>
      </c>
      <c r="U7" s="61"/>
    </row>
    <row r="8" spans="1:21" s="1" customFormat="1" x14ac:dyDescent="0.15">
      <c r="A8" s="6" t="s">
        <v>8</v>
      </c>
      <c r="B8" s="6"/>
      <c r="C8" s="6"/>
      <c r="D8" s="7"/>
      <c r="E8" s="7"/>
      <c r="F8" s="7"/>
      <c r="G8" s="7"/>
      <c r="H8" s="6"/>
      <c r="I8" s="6"/>
      <c r="J8" s="58"/>
      <c r="K8" s="58"/>
      <c r="L8" s="58"/>
      <c r="M8" s="58" t="str">
        <f>IFERROR(VLOOKUP(B2, N5:Q1020, 4, FALSE), "")</f>
        <v>サトウ</v>
      </c>
      <c r="N8" s="69">
        <v>4</v>
      </c>
      <c r="O8" s="69"/>
      <c r="P8" s="60" t="str">
        <f>+相手先マスタ!B5</f>
        <v>田中</v>
      </c>
      <c r="Q8" s="60" t="str">
        <f>+相手先マスタ!D5</f>
        <v>タナカ</v>
      </c>
      <c r="R8" s="61"/>
      <c r="S8" s="61">
        <v>4</v>
      </c>
      <c r="T8" s="61" t="s">
        <v>115</v>
      </c>
      <c r="U8" s="61"/>
    </row>
    <row r="9" spans="1:21" s="2" customFormat="1" ht="15" thickBot="1" x14ac:dyDescent="0.2">
      <c r="A9" s="16"/>
      <c r="B9" s="16"/>
      <c r="C9" s="16"/>
      <c r="D9" s="16"/>
      <c r="E9" s="16"/>
      <c r="F9" s="16"/>
      <c r="G9" s="16"/>
      <c r="H9" s="16"/>
      <c r="I9" s="16"/>
      <c r="J9" s="62"/>
      <c r="K9" s="62"/>
      <c r="L9" s="62"/>
      <c r="M9" s="62"/>
      <c r="N9" s="69">
        <v>5</v>
      </c>
      <c r="O9" s="69"/>
      <c r="P9" s="60" t="str">
        <f>+相手先マスタ!B6</f>
        <v>伊藤</v>
      </c>
      <c r="Q9" s="60" t="str">
        <f>+相手先マスタ!D6</f>
        <v>イトウ</v>
      </c>
      <c r="R9" s="61"/>
      <c r="S9" s="61">
        <v>5</v>
      </c>
      <c r="T9" s="61" t="s">
        <v>117</v>
      </c>
      <c r="U9" s="56"/>
    </row>
    <row r="10" spans="1:21" s="1" customFormat="1" ht="15" thickBot="1" x14ac:dyDescent="0.2">
      <c r="A10" s="17" t="s">
        <v>98</v>
      </c>
      <c r="B10" s="18"/>
      <c r="C10" s="18"/>
      <c r="D10" s="18" t="s">
        <v>10</v>
      </c>
      <c r="E10" s="18"/>
      <c r="F10" s="19" t="s">
        <v>11</v>
      </c>
      <c r="G10" s="19" t="s">
        <v>12</v>
      </c>
      <c r="H10" s="19" t="s">
        <v>166</v>
      </c>
      <c r="I10" s="19" t="s">
        <v>14</v>
      </c>
      <c r="J10" s="58"/>
      <c r="K10" s="58"/>
      <c r="L10" s="58"/>
      <c r="M10" s="62"/>
      <c r="N10" s="69">
        <v>6</v>
      </c>
      <c r="O10" s="69"/>
      <c r="P10" s="60" t="str">
        <f>+相手先マスタ!B7</f>
        <v>渡辺</v>
      </c>
      <c r="Q10" s="60" t="str">
        <f>+相手先マスタ!D7</f>
        <v>ワタナベ</v>
      </c>
      <c r="R10" s="61"/>
      <c r="S10" s="61">
        <v>6</v>
      </c>
      <c r="T10" s="61"/>
      <c r="U10" s="61"/>
    </row>
    <row r="11" spans="1:21" s="1" customFormat="1" ht="15" thickTop="1" x14ac:dyDescent="0.15">
      <c r="A11" s="84">
        <v>1</v>
      </c>
      <c r="B11" s="20">
        <v>1</v>
      </c>
      <c r="C11" s="21"/>
      <c r="D11" s="90" t="str">
        <f>IFERROR(VLOOKUP(A11, S$5:T$99, 2, FALSE), "")</f>
        <v>米</v>
      </c>
      <c r="E11" s="22"/>
      <c r="F11" s="23"/>
      <c r="G11" s="23"/>
      <c r="H11" s="24"/>
      <c r="I11" s="86"/>
      <c r="J11" s="58"/>
      <c r="K11" s="58"/>
      <c r="L11" s="58"/>
      <c r="M11" s="69" t="s">
        <v>232</v>
      </c>
      <c r="N11" s="69">
        <v>7</v>
      </c>
      <c r="O11" s="69"/>
      <c r="P11" s="60">
        <f>+相手先マスタ!B8</f>
        <v>0</v>
      </c>
      <c r="Q11" s="60">
        <f>+相手先マスタ!D8</f>
        <v>0</v>
      </c>
      <c r="R11" s="61"/>
      <c r="S11" s="61">
        <v>7</v>
      </c>
      <c r="T11" s="61"/>
      <c r="U11" s="61"/>
    </row>
    <row r="12" spans="1:21" s="1" customFormat="1" x14ac:dyDescent="0.15">
      <c r="A12" s="85"/>
      <c r="B12" s="25"/>
      <c r="C12" s="26"/>
      <c r="D12" s="26"/>
      <c r="E12" s="27"/>
      <c r="F12" s="28">
        <v>1</v>
      </c>
      <c r="G12" s="29">
        <v>11600</v>
      </c>
      <c r="H12" s="89">
        <f>+F12*G12</f>
        <v>11600</v>
      </c>
      <c r="I12" s="120">
        <v>24</v>
      </c>
      <c r="J12" s="58"/>
      <c r="K12" s="58"/>
      <c r="L12" s="58"/>
      <c r="M12" s="58"/>
      <c r="N12" s="69">
        <v>8</v>
      </c>
      <c r="O12" s="69"/>
      <c r="P12" s="60">
        <f>+相手先マスタ!B9</f>
        <v>0</v>
      </c>
      <c r="Q12" s="60">
        <f>+相手先マスタ!D9</f>
        <v>0</v>
      </c>
      <c r="R12" s="61"/>
      <c r="S12" s="61">
        <v>8</v>
      </c>
      <c r="T12" s="61"/>
      <c r="U12" s="61"/>
    </row>
    <row r="13" spans="1:21" s="1" customFormat="1" x14ac:dyDescent="0.15">
      <c r="A13" s="84">
        <v>5</v>
      </c>
      <c r="B13" s="20">
        <v>2</v>
      </c>
      <c r="C13" s="21"/>
      <c r="D13" s="90" t="str">
        <f>IFERROR(VLOOKUP(A13, S$5:T$26, 2, FALSE), "")</f>
        <v>野菜一式</v>
      </c>
      <c r="E13" s="22"/>
      <c r="F13" s="23"/>
      <c r="G13" s="23"/>
      <c r="H13" s="24"/>
      <c r="I13" s="86"/>
      <c r="J13" s="58"/>
      <c r="K13" s="58"/>
      <c r="L13" s="58"/>
      <c r="M13" s="58"/>
      <c r="N13" s="69">
        <v>9</v>
      </c>
      <c r="O13" s="69"/>
      <c r="P13" s="60">
        <f>+相手先マスタ!B10</f>
        <v>0</v>
      </c>
      <c r="Q13" s="60">
        <f>+相手先マスタ!D10</f>
        <v>0</v>
      </c>
      <c r="R13" s="61"/>
      <c r="S13" s="61">
        <v>9</v>
      </c>
      <c r="T13" s="61"/>
      <c r="U13" s="61"/>
    </row>
    <row r="14" spans="1:21" s="1" customFormat="1" x14ac:dyDescent="0.15">
      <c r="A14" s="85"/>
      <c r="B14" s="25"/>
      <c r="C14" s="26"/>
      <c r="D14" s="26"/>
      <c r="E14" s="27"/>
      <c r="F14" s="28">
        <v>1</v>
      </c>
      <c r="G14" s="29">
        <v>450</v>
      </c>
      <c r="H14" s="89">
        <f>+F14*G14</f>
        <v>450</v>
      </c>
      <c r="I14" s="120">
        <v>4</v>
      </c>
      <c r="J14" s="58"/>
      <c r="K14" s="58"/>
      <c r="L14" s="58"/>
      <c r="M14" s="58"/>
      <c r="N14" s="69">
        <v>10</v>
      </c>
      <c r="O14" s="69"/>
      <c r="P14" s="60">
        <f>+相手先マスタ!B11</f>
        <v>0</v>
      </c>
      <c r="Q14" s="60">
        <f>+相手先マスタ!D11</f>
        <v>0</v>
      </c>
      <c r="R14" s="61"/>
      <c r="S14" s="61">
        <v>10</v>
      </c>
      <c r="T14" s="61" t="s">
        <v>172</v>
      </c>
      <c r="U14" s="61"/>
    </row>
    <row r="15" spans="1:21" s="1" customFormat="1" x14ac:dyDescent="0.15">
      <c r="A15" s="84"/>
      <c r="B15" s="20">
        <v>3</v>
      </c>
      <c r="C15" s="21"/>
      <c r="D15" s="90" t="str">
        <f>IFERROR(VLOOKUP(A15, S$5:T$26, 2, FALSE), "")</f>
        <v/>
      </c>
      <c r="E15" s="22"/>
      <c r="F15" s="23"/>
      <c r="G15" s="23"/>
      <c r="H15" s="24"/>
      <c r="I15" s="86"/>
      <c r="J15" s="58"/>
      <c r="K15" s="58"/>
      <c r="L15" s="58"/>
      <c r="M15" s="58"/>
      <c r="N15" s="69">
        <v>11</v>
      </c>
      <c r="O15" s="69"/>
      <c r="P15" s="60">
        <f>+相手先マスタ!B12</f>
        <v>0</v>
      </c>
      <c r="Q15" s="60">
        <f>+相手先マスタ!D12</f>
        <v>0</v>
      </c>
      <c r="R15" s="61"/>
      <c r="S15" s="61"/>
      <c r="T15" s="61"/>
      <c r="U15" s="61"/>
    </row>
    <row r="16" spans="1:21" s="1" customFormat="1" x14ac:dyDescent="0.15">
      <c r="A16" s="85"/>
      <c r="B16" s="25"/>
      <c r="C16" s="26"/>
      <c r="D16" s="26"/>
      <c r="E16" s="27"/>
      <c r="F16" s="28"/>
      <c r="G16" s="29"/>
      <c r="H16" s="89">
        <f>+F16*G16</f>
        <v>0</v>
      </c>
      <c r="I16" s="120"/>
      <c r="J16" s="58"/>
      <c r="K16" s="58"/>
      <c r="L16" s="58"/>
      <c r="M16" s="58"/>
      <c r="N16" s="69">
        <v>12</v>
      </c>
      <c r="O16" s="69"/>
      <c r="P16" s="60">
        <f>+相手先マスタ!B13</f>
        <v>0</v>
      </c>
      <c r="Q16" s="60">
        <f>+相手先マスタ!D13</f>
        <v>0</v>
      </c>
      <c r="R16" s="61"/>
      <c r="S16" s="61"/>
      <c r="T16" s="61"/>
      <c r="U16" s="61"/>
    </row>
    <row r="17" spans="1:21" s="1" customFormat="1" x14ac:dyDescent="0.15">
      <c r="A17" s="84"/>
      <c r="B17" s="20">
        <v>4</v>
      </c>
      <c r="C17" s="21"/>
      <c r="D17" s="90" t="str">
        <f>IFERROR(VLOOKUP(A17, S$5:T$26, 2, FALSE), "")</f>
        <v/>
      </c>
      <c r="E17" s="22"/>
      <c r="F17" s="23"/>
      <c r="G17" s="23"/>
      <c r="H17" s="24"/>
      <c r="I17" s="86"/>
      <c r="J17" s="58"/>
      <c r="K17" s="58"/>
      <c r="L17" s="58"/>
      <c r="M17" s="58"/>
      <c r="N17" s="69">
        <v>13</v>
      </c>
      <c r="O17" s="69"/>
      <c r="P17" s="60">
        <f>+相手先マスタ!B14</f>
        <v>0</v>
      </c>
      <c r="Q17" s="60">
        <f>+相手先マスタ!D14</f>
        <v>0</v>
      </c>
      <c r="R17" s="61"/>
      <c r="S17" s="61"/>
      <c r="T17" s="61"/>
      <c r="U17" s="61"/>
    </row>
    <row r="18" spans="1:21" s="1" customFormat="1" x14ac:dyDescent="0.15">
      <c r="A18" s="85"/>
      <c r="B18" s="25"/>
      <c r="C18" s="26"/>
      <c r="D18" s="26"/>
      <c r="E18" s="27"/>
      <c r="F18" s="28"/>
      <c r="G18" s="29"/>
      <c r="H18" s="89">
        <f>+F18*G18</f>
        <v>0</v>
      </c>
      <c r="I18" s="120"/>
      <c r="J18" s="58"/>
      <c r="K18" s="58"/>
      <c r="L18" s="58"/>
      <c r="M18" s="58"/>
      <c r="N18" s="69">
        <v>14</v>
      </c>
      <c r="O18" s="69"/>
      <c r="P18" s="60">
        <f>+相手先マスタ!B15</f>
        <v>0</v>
      </c>
      <c r="Q18" s="60">
        <f>+相手先マスタ!D15</f>
        <v>0</v>
      </c>
      <c r="R18" s="61"/>
      <c r="S18" s="61"/>
      <c r="T18" s="61"/>
      <c r="U18" s="61"/>
    </row>
    <row r="19" spans="1:21" s="1" customFormat="1" x14ac:dyDescent="0.15">
      <c r="A19" s="84"/>
      <c r="B19" s="20">
        <v>5</v>
      </c>
      <c r="C19" s="31"/>
      <c r="D19" s="90" t="str">
        <f>IFERROR(VLOOKUP(A19, S$5:T$26, 2, FALSE), "")</f>
        <v/>
      </c>
      <c r="E19" s="33"/>
      <c r="F19" s="24"/>
      <c r="G19" s="24"/>
      <c r="H19" s="24"/>
      <c r="I19" s="86"/>
      <c r="J19" s="58"/>
      <c r="K19" s="58"/>
      <c r="L19" s="58"/>
      <c r="M19" s="58"/>
      <c r="N19" s="69">
        <v>15</v>
      </c>
      <c r="O19" s="69"/>
      <c r="P19" s="60">
        <f>+相手先マスタ!B16</f>
        <v>0</v>
      </c>
      <c r="Q19" s="60">
        <f>+相手先マスタ!D16</f>
        <v>0</v>
      </c>
      <c r="R19" s="61"/>
      <c r="S19" s="61"/>
      <c r="T19" s="61"/>
      <c r="U19" s="61"/>
    </row>
    <row r="20" spans="1:21" s="1" customFormat="1" ht="15" thickBot="1" x14ac:dyDescent="0.2">
      <c r="A20" s="84"/>
      <c r="B20" s="20"/>
      <c r="C20" s="31"/>
      <c r="D20" s="32"/>
      <c r="E20" s="33"/>
      <c r="F20" s="24"/>
      <c r="G20" s="34"/>
      <c r="H20" s="89">
        <f>+F20*G20</f>
        <v>0</v>
      </c>
      <c r="I20" s="120"/>
      <c r="J20" s="58"/>
      <c r="K20" s="58"/>
      <c r="L20" s="58"/>
      <c r="M20" s="58"/>
      <c r="N20" s="69">
        <v>16</v>
      </c>
      <c r="O20" s="69"/>
      <c r="P20" s="60">
        <f>+相手先マスタ!B17</f>
        <v>0</v>
      </c>
      <c r="Q20" s="60">
        <f>+相手先マスタ!D17</f>
        <v>0</v>
      </c>
      <c r="R20" s="61"/>
      <c r="S20" s="61"/>
      <c r="T20" s="61"/>
      <c r="U20" s="61"/>
    </row>
    <row r="21" spans="1:21" ht="18" thickBot="1" x14ac:dyDescent="0.2">
      <c r="A21" s="35"/>
      <c r="B21" s="36"/>
      <c r="C21" s="36"/>
      <c r="D21" s="36" t="s">
        <v>101</v>
      </c>
      <c r="E21" s="36"/>
      <c r="F21" s="123">
        <v>8</v>
      </c>
      <c r="G21" s="125">
        <f>+ROUNDUP(H21/(1+F21*0.01),0)</f>
        <v>11158</v>
      </c>
      <c r="H21" s="39">
        <f>+SUM(H11:H20)</f>
        <v>12050</v>
      </c>
      <c r="I21" s="37"/>
      <c r="J21" s="58"/>
      <c r="K21" s="58"/>
      <c r="L21" s="58"/>
      <c r="M21" s="4">
        <f>+SUM(H11:H20)</f>
        <v>12050</v>
      </c>
      <c r="N21" s="69">
        <v>17</v>
      </c>
      <c r="O21" s="69"/>
      <c r="P21" s="60">
        <f>+相手先マスタ!B18</f>
        <v>0</v>
      </c>
      <c r="Q21" s="60">
        <f>+相手先マスタ!D18</f>
        <v>0</v>
      </c>
      <c r="R21" s="61"/>
      <c r="S21" s="61"/>
    </row>
    <row r="22" spans="1:21" s="1" customFormat="1" ht="18" thickBot="1" x14ac:dyDescent="0.2">
      <c r="A22" s="7"/>
      <c r="B22" s="7"/>
      <c r="C22" s="7"/>
      <c r="D22" s="7"/>
      <c r="E22" s="124" t="str">
        <f>+"消費税"&amp;F21&amp;"%"</f>
        <v>消費税8%</v>
      </c>
      <c r="F22" s="41" t="s">
        <v>16</v>
      </c>
      <c r="G22" s="34">
        <f>+ROUNDDOWN(H21/(1+F21*0.01)*F21*0.01,0)</f>
        <v>892</v>
      </c>
      <c r="H22" s="41" t="s">
        <v>156</v>
      </c>
      <c r="I22" s="64">
        <f>H21</f>
        <v>12050</v>
      </c>
      <c r="J22" s="58"/>
      <c r="K22" s="58"/>
      <c r="L22" s="58"/>
      <c r="M22" s="58"/>
      <c r="N22" s="69">
        <v>18</v>
      </c>
      <c r="O22" s="69"/>
      <c r="P22" s="60">
        <f>+相手先マスタ!B19</f>
        <v>0</v>
      </c>
      <c r="Q22" s="60">
        <f>+相手先マスタ!D19</f>
        <v>0</v>
      </c>
      <c r="R22" s="61"/>
      <c r="S22" s="61"/>
      <c r="T22" s="61"/>
      <c r="U22" s="61"/>
    </row>
    <row r="23" spans="1:21" s="3" customFormat="1" ht="18.75" x14ac:dyDescent="0.2">
      <c r="A23" s="42"/>
      <c r="B23" s="42"/>
      <c r="C23" s="42"/>
      <c r="D23" s="42"/>
      <c r="E23" s="42"/>
      <c r="F23" s="42"/>
      <c r="G23" s="42"/>
      <c r="H23" s="42"/>
      <c r="I23" s="42"/>
      <c r="J23" s="65"/>
      <c r="K23" s="65"/>
      <c r="L23" s="65"/>
      <c r="M23" s="65"/>
      <c r="N23" s="69">
        <v>19</v>
      </c>
      <c r="O23" s="69"/>
      <c r="P23" s="60">
        <f>+相手先マスタ!B20</f>
        <v>0</v>
      </c>
      <c r="Q23" s="60">
        <f>+相手先マスタ!D20</f>
        <v>0</v>
      </c>
      <c r="R23" s="61"/>
      <c r="S23" s="61"/>
      <c r="T23" s="61"/>
      <c r="U23" s="95"/>
    </row>
    <row r="24" spans="1:21" s="1" customFormat="1" ht="42" x14ac:dyDescent="0.4">
      <c r="A24" s="43"/>
      <c r="B24" s="44"/>
      <c r="C24" s="44"/>
      <c r="D24" s="45"/>
      <c r="E24" s="46" t="s">
        <v>5</v>
      </c>
      <c r="F24" s="44"/>
      <c r="G24" s="96" t="s">
        <v>4</v>
      </c>
      <c r="H24" s="97">
        <f>H1</f>
        <v>26082401</v>
      </c>
      <c r="I24" s="98">
        <f>+I1</f>
        <v>0</v>
      </c>
      <c r="J24" s="66" t="s">
        <v>1</v>
      </c>
      <c r="K24" s="58"/>
      <c r="L24" s="58"/>
      <c r="M24" s="58"/>
      <c r="N24" s="69">
        <v>20</v>
      </c>
      <c r="O24" s="69"/>
      <c r="P24" s="60">
        <f>+相手先マスタ!B21</f>
        <v>0</v>
      </c>
      <c r="Q24" s="60">
        <f>+相手先マスタ!D21</f>
        <v>0</v>
      </c>
      <c r="R24" s="61"/>
      <c r="S24" s="61"/>
      <c r="T24" s="61"/>
      <c r="U24" s="61"/>
    </row>
    <row r="25" spans="1:21" s="1" customFormat="1" x14ac:dyDescent="0.15">
      <c r="A25" s="12" t="s">
        <v>6</v>
      </c>
      <c r="B25" s="13">
        <f>B2</f>
        <v>1</v>
      </c>
      <c r="C25" s="14"/>
      <c r="D25" s="14"/>
      <c r="E25" s="7"/>
      <c r="F25" s="7"/>
      <c r="G25" s="7"/>
      <c r="H25" s="7"/>
      <c r="I25" s="93">
        <f ca="1">I2</f>
        <v>46258</v>
      </c>
      <c r="J25" s="58"/>
      <c r="K25" s="58"/>
      <c r="L25" s="58"/>
      <c r="M25" s="58"/>
      <c r="N25" s="69">
        <v>21</v>
      </c>
      <c r="O25" s="69"/>
      <c r="P25" s="60">
        <f>+相手先マスタ!B22</f>
        <v>0</v>
      </c>
      <c r="Q25" s="60">
        <f>+相手先マスタ!D22</f>
        <v>0</v>
      </c>
      <c r="R25" s="61"/>
      <c r="S25" s="61"/>
      <c r="T25" s="61"/>
      <c r="U25" s="61"/>
    </row>
    <row r="26" spans="1:21" s="1" customFormat="1" ht="21" x14ac:dyDescent="0.2">
      <c r="A26" s="47">
        <f>A3</f>
        <v>0</v>
      </c>
      <c r="B26" s="13"/>
      <c r="C26" s="13"/>
      <c r="D26" s="13"/>
      <c r="E26" s="13"/>
      <c r="F26" s="15" t="s">
        <v>1</v>
      </c>
      <c r="G26" s="9"/>
      <c r="H26" s="7"/>
      <c r="I26" s="7"/>
      <c r="J26" s="58"/>
      <c r="K26" s="58"/>
      <c r="L26" s="58"/>
      <c r="M26" s="58"/>
      <c r="N26" s="69">
        <v>22</v>
      </c>
      <c r="O26" s="69"/>
      <c r="P26" s="60">
        <f>+相手先マスタ!B23</f>
        <v>0</v>
      </c>
      <c r="Q26" s="60">
        <f>+相手先マスタ!D23</f>
        <v>0</v>
      </c>
      <c r="R26" s="61"/>
      <c r="S26" s="61"/>
      <c r="T26" s="61"/>
      <c r="U26" s="61"/>
    </row>
    <row r="27" spans="1:21" s="1" customFormat="1" x14ac:dyDescent="0.15">
      <c r="A27" s="7"/>
      <c r="B27" s="7"/>
      <c r="C27" s="7"/>
      <c r="D27" s="7"/>
      <c r="E27" s="7"/>
      <c r="F27" s="7"/>
      <c r="G27" s="7" t="str">
        <f>+G4</f>
        <v xml:space="preserve"> 〒住所</v>
      </c>
      <c r="H27" s="7"/>
      <c r="I27" s="7"/>
      <c r="J27" s="58"/>
      <c r="K27" s="58"/>
      <c r="L27" s="58"/>
      <c r="M27" s="58"/>
      <c r="N27" s="69">
        <v>23</v>
      </c>
      <c r="O27" s="69"/>
      <c r="P27" s="60">
        <f>+相手先マスタ!B24</f>
        <v>0</v>
      </c>
      <c r="Q27" s="60">
        <f>+相手先マスタ!D24</f>
        <v>0</v>
      </c>
      <c r="R27" s="61"/>
      <c r="S27" s="61"/>
      <c r="T27" s="61"/>
      <c r="U27" s="61"/>
    </row>
    <row r="28" spans="1:21" s="1" customFormat="1" ht="17.25" x14ac:dyDescent="0.2">
      <c r="A28" s="48" t="str">
        <f>A5</f>
        <v>佐藤  様</v>
      </c>
      <c r="B28" s="13"/>
      <c r="C28" s="13"/>
      <c r="D28" s="13"/>
      <c r="E28" s="13"/>
      <c r="F28" s="7"/>
      <c r="G28" s="33" t="str">
        <f>+G5</f>
        <v xml:space="preserve">   TEL 電話番号</v>
      </c>
      <c r="H28" s="7"/>
      <c r="I28" s="7"/>
      <c r="J28" s="7"/>
      <c r="K28" s="7"/>
      <c r="L28" s="7"/>
      <c r="M28" s="58"/>
      <c r="N28" s="69">
        <v>24</v>
      </c>
      <c r="O28" s="88"/>
      <c r="P28" s="60">
        <f>+相手先マスタ!B25</f>
        <v>0</v>
      </c>
      <c r="Q28" s="60">
        <f>+相手先マスタ!D25</f>
        <v>0</v>
      </c>
      <c r="R28" s="61"/>
      <c r="S28" s="61"/>
      <c r="T28" s="61"/>
      <c r="U28" s="61"/>
    </row>
    <row r="29" spans="1:21" s="1" customFormat="1" x14ac:dyDescent="0.15">
      <c r="A29" s="6"/>
      <c r="B29" s="6"/>
      <c r="C29" s="6"/>
      <c r="D29" s="6"/>
      <c r="E29" s="6"/>
      <c r="F29" s="6"/>
      <c r="G29" s="6"/>
      <c r="H29" s="131" t="s">
        <v>237</v>
      </c>
      <c r="I29" s="132"/>
      <c r="J29" s="6"/>
      <c r="K29" s="6"/>
      <c r="L29" s="6"/>
      <c r="M29" s="7"/>
      <c r="N29" s="69">
        <v>25</v>
      </c>
      <c r="O29" s="88"/>
      <c r="P29" s="60">
        <f>+相手先マスタ!B26</f>
        <v>0</v>
      </c>
      <c r="Q29" s="60">
        <f>+相手先マスタ!D26</f>
        <v>0</v>
      </c>
      <c r="R29" s="61"/>
      <c r="S29" s="61"/>
      <c r="T29" s="61"/>
      <c r="U29" s="61"/>
    </row>
    <row r="30" spans="1:21" s="1" customFormat="1" x14ac:dyDescent="0.15">
      <c r="A30" s="6" t="s">
        <v>7</v>
      </c>
      <c r="B30" s="6"/>
      <c r="C30" s="6"/>
      <c r="D30" s="7"/>
      <c r="E30" s="7"/>
      <c r="F30" s="7"/>
      <c r="G30" s="7"/>
      <c r="H30" s="133"/>
      <c r="I30" s="133"/>
      <c r="J30" s="7"/>
      <c r="K30" s="7"/>
      <c r="L30" s="7"/>
      <c r="M30" s="6"/>
      <c r="N30" s="69">
        <v>26</v>
      </c>
      <c r="O30" s="88"/>
      <c r="P30" s="60">
        <f>+相手先マスタ!B27</f>
        <v>0</v>
      </c>
      <c r="Q30" s="60">
        <f>+相手先マスタ!D27</f>
        <v>0</v>
      </c>
      <c r="R30" s="61"/>
      <c r="S30" s="61"/>
      <c r="T30" s="61"/>
      <c r="U30" s="61"/>
    </row>
    <row r="31" spans="1:21" s="1" customFormat="1" x14ac:dyDescent="0.15">
      <c r="A31" s="6" t="s">
        <v>9</v>
      </c>
      <c r="B31" s="6"/>
      <c r="C31" s="6"/>
      <c r="D31" s="7"/>
      <c r="E31" s="7"/>
      <c r="F31" s="7"/>
      <c r="G31" s="7"/>
      <c r="H31" s="6"/>
      <c r="I31" s="6"/>
      <c r="J31" s="7"/>
      <c r="K31" s="7"/>
      <c r="L31" s="7"/>
      <c r="M31" s="7"/>
      <c r="N31" s="69">
        <v>27</v>
      </c>
      <c r="O31" s="88"/>
      <c r="P31" s="60">
        <f>+相手先マスタ!B28</f>
        <v>0</v>
      </c>
      <c r="Q31" s="60">
        <f>+相手先マスタ!D28</f>
        <v>0</v>
      </c>
      <c r="R31" s="61"/>
      <c r="S31" s="61"/>
      <c r="T31" s="61"/>
      <c r="U31" s="61"/>
    </row>
    <row r="32" spans="1:21" s="2" customFormat="1" ht="15" thickBot="1" x14ac:dyDescent="0.2">
      <c r="A32" s="16"/>
      <c r="B32" s="16"/>
      <c r="C32" s="16"/>
      <c r="D32" s="16"/>
      <c r="E32" s="16"/>
      <c r="F32" s="16"/>
      <c r="G32" s="16"/>
      <c r="H32" s="16"/>
      <c r="I32" s="16"/>
      <c r="J32" s="16"/>
      <c r="K32" s="16"/>
      <c r="L32" s="16"/>
      <c r="M32" s="16"/>
      <c r="N32" s="69">
        <v>28</v>
      </c>
      <c r="O32" s="88"/>
      <c r="P32" s="60">
        <f>+相手先マスタ!B29</f>
        <v>0</v>
      </c>
      <c r="Q32" s="60">
        <f>+相手先マスタ!D29</f>
        <v>0</v>
      </c>
      <c r="R32" s="61"/>
      <c r="S32" s="61"/>
      <c r="T32" s="61"/>
      <c r="U32" s="56"/>
    </row>
    <row r="33" spans="1:21" s="1" customFormat="1" ht="15" thickBot="1" x14ac:dyDescent="0.2">
      <c r="A33" s="17" t="s">
        <v>98</v>
      </c>
      <c r="B33" s="18"/>
      <c r="C33" s="18"/>
      <c r="D33" s="18" t="s">
        <v>10</v>
      </c>
      <c r="E33" s="18"/>
      <c r="F33" s="19" t="s">
        <v>11</v>
      </c>
      <c r="G33" s="19" t="s">
        <v>12</v>
      </c>
      <c r="H33" s="19" t="s">
        <v>166</v>
      </c>
      <c r="I33" s="19" t="s">
        <v>163</v>
      </c>
      <c r="J33" s="7"/>
      <c r="K33" s="7"/>
      <c r="L33" s="7"/>
      <c r="M33" s="16"/>
      <c r="N33" s="69">
        <v>29</v>
      </c>
      <c r="O33" s="88"/>
      <c r="P33" s="60">
        <f>+相手先マスタ!B30</f>
        <v>0</v>
      </c>
      <c r="Q33" s="60">
        <f>+相手先マスタ!D30</f>
        <v>0</v>
      </c>
      <c r="R33" s="61"/>
      <c r="S33" s="61"/>
      <c r="T33" s="61"/>
      <c r="U33" s="61"/>
    </row>
    <row r="34" spans="1:21" s="1" customFormat="1" ht="15" thickTop="1" x14ac:dyDescent="0.15">
      <c r="A34" s="84">
        <f>A11</f>
        <v>1</v>
      </c>
      <c r="B34" s="20">
        <f>B11</f>
        <v>1</v>
      </c>
      <c r="C34" s="31">
        <f>C11</f>
        <v>0</v>
      </c>
      <c r="D34" s="31" t="str">
        <f>+D11</f>
        <v>米</v>
      </c>
      <c r="E34" s="33"/>
      <c r="F34" s="49"/>
      <c r="G34" s="24">
        <f>G11</f>
        <v>0</v>
      </c>
      <c r="H34" s="24"/>
      <c r="I34" s="63">
        <f>I11</f>
        <v>0</v>
      </c>
      <c r="J34" s="7"/>
      <c r="K34" s="7"/>
      <c r="L34" s="7"/>
      <c r="M34" s="7"/>
      <c r="N34" s="69">
        <v>30</v>
      </c>
      <c r="O34" s="88"/>
      <c r="P34" s="60">
        <f>+相手先マスタ!B31</f>
        <v>0</v>
      </c>
      <c r="Q34" s="60">
        <f>+相手先マスタ!D31</f>
        <v>0</v>
      </c>
      <c r="R34" s="61"/>
      <c r="S34" s="61"/>
      <c r="T34" s="61"/>
      <c r="U34" s="61"/>
    </row>
    <row r="35" spans="1:21" s="1" customFormat="1" x14ac:dyDescent="0.15">
      <c r="A35" s="85"/>
      <c r="B35" s="25"/>
      <c r="C35" s="50"/>
      <c r="D35" s="50">
        <f>D12</f>
        <v>0</v>
      </c>
      <c r="E35" s="51"/>
      <c r="F35" s="52">
        <f>F12</f>
        <v>1</v>
      </c>
      <c r="G35" s="30">
        <f>G12</f>
        <v>11600</v>
      </c>
      <c r="H35" s="30">
        <f>H12</f>
        <v>11600</v>
      </c>
      <c r="I35" s="120">
        <v>24</v>
      </c>
      <c r="J35" s="7"/>
      <c r="K35" s="7"/>
      <c r="L35" s="7"/>
      <c r="M35" s="7"/>
      <c r="N35" s="69">
        <v>31</v>
      </c>
      <c r="O35" s="88"/>
      <c r="P35" s="60">
        <f>+相手先マスタ!B32</f>
        <v>0</v>
      </c>
      <c r="Q35" s="60">
        <f>+相手先マスタ!D32</f>
        <v>0</v>
      </c>
      <c r="R35" s="61"/>
      <c r="S35" s="61"/>
      <c r="T35" s="61"/>
      <c r="U35" s="61"/>
    </row>
    <row r="36" spans="1:21" s="1" customFormat="1" x14ac:dyDescent="0.15">
      <c r="A36" s="84">
        <f>A13</f>
        <v>5</v>
      </c>
      <c r="B36" s="20">
        <f>B13</f>
        <v>2</v>
      </c>
      <c r="C36" s="31">
        <f>C13</f>
        <v>0</v>
      </c>
      <c r="D36" s="31" t="str">
        <f>+D13</f>
        <v>野菜一式</v>
      </c>
      <c r="E36" s="33"/>
      <c r="F36" s="49"/>
      <c r="G36" s="24"/>
      <c r="H36" s="24"/>
      <c r="I36" s="63"/>
      <c r="J36" s="58"/>
      <c r="K36" s="58"/>
      <c r="L36" s="58"/>
      <c r="M36" s="7"/>
      <c r="N36" s="69">
        <v>32</v>
      </c>
      <c r="O36" s="69"/>
      <c r="P36" s="60">
        <f>+相手先マスタ!B33</f>
        <v>0</v>
      </c>
      <c r="Q36" s="60">
        <f>+相手先マスタ!D33</f>
        <v>0</v>
      </c>
      <c r="R36" s="61"/>
      <c r="S36" s="61"/>
      <c r="T36" s="61"/>
      <c r="U36" s="61"/>
    </row>
    <row r="37" spans="1:21" s="1" customFormat="1" x14ac:dyDescent="0.15">
      <c r="A37" s="85"/>
      <c r="B37" s="25"/>
      <c r="C37" s="50"/>
      <c r="D37" s="50">
        <f>D14</f>
        <v>0</v>
      </c>
      <c r="E37" s="51"/>
      <c r="F37" s="52">
        <f>F14</f>
        <v>1</v>
      </c>
      <c r="G37" s="30">
        <f>G14</f>
        <v>450</v>
      </c>
      <c r="H37" s="30">
        <f>H14</f>
        <v>450</v>
      </c>
      <c r="I37" s="120">
        <f>I14</f>
        <v>4</v>
      </c>
      <c r="J37" s="58"/>
      <c r="K37" s="58"/>
      <c r="L37" s="58"/>
      <c r="M37" s="58"/>
      <c r="N37" s="69">
        <v>33</v>
      </c>
      <c r="O37" s="69"/>
      <c r="P37" s="60">
        <f>+相手先マスタ!B34</f>
        <v>0</v>
      </c>
      <c r="Q37" s="60">
        <f>+相手先マスタ!D34</f>
        <v>0</v>
      </c>
      <c r="R37" s="61"/>
      <c r="S37" s="61"/>
      <c r="T37" s="61"/>
      <c r="U37" s="61"/>
    </row>
    <row r="38" spans="1:21" s="1" customFormat="1" x14ac:dyDescent="0.15">
      <c r="A38" s="84">
        <f>A15</f>
        <v>0</v>
      </c>
      <c r="B38" s="20">
        <f>B15</f>
        <v>3</v>
      </c>
      <c r="C38" s="31">
        <f>C15</f>
        <v>0</v>
      </c>
      <c r="D38" s="31" t="str">
        <f>+D15</f>
        <v/>
      </c>
      <c r="E38" s="33"/>
      <c r="F38" s="49"/>
      <c r="G38" s="24"/>
      <c r="H38" s="24"/>
      <c r="I38" s="63"/>
      <c r="J38" s="58"/>
      <c r="K38" s="58"/>
      <c r="L38" s="58"/>
      <c r="M38" s="58"/>
      <c r="N38" s="69">
        <v>34</v>
      </c>
      <c r="O38" s="69"/>
      <c r="P38" s="60">
        <f>+相手先マスタ!B35</f>
        <v>0</v>
      </c>
      <c r="Q38" s="60">
        <f>+相手先マスタ!D35</f>
        <v>0</v>
      </c>
      <c r="R38" s="61"/>
      <c r="S38" s="61"/>
      <c r="T38" s="61"/>
      <c r="U38" s="61"/>
    </row>
    <row r="39" spans="1:21" s="1" customFormat="1" x14ac:dyDescent="0.15">
      <c r="A39" s="85"/>
      <c r="B39" s="25"/>
      <c r="C39" s="50"/>
      <c r="D39" s="50">
        <f>D16</f>
        <v>0</v>
      </c>
      <c r="E39" s="51"/>
      <c r="F39" s="52">
        <f>F16</f>
        <v>0</v>
      </c>
      <c r="G39" s="30">
        <f>G16</f>
        <v>0</v>
      </c>
      <c r="H39" s="30">
        <f>H16</f>
        <v>0</v>
      </c>
      <c r="I39" s="120">
        <f>I16</f>
        <v>0</v>
      </c>
      <c r="J39" s="58"/>
      <c r="K39" s="58"/>
      <c r="L39" s="58"/>
      <c r="M39" s="58"/>
      <c r="N39" s="69">
        <v>35</v>
      </c>
      <c r="O39" s="69"/>
      <c r="P39" s="60">
        <f>+相手先マスタ!B36</f>
        <v>0</v>
      </c>
      <c r="Q39" s="60">
        <f>+相手先マスタ!D36</f>
        <v>0</v>
      </c>
      <c r="R39" s="61"/>
      <c r="S39" s="61"/>
      <c r="T39" s="61"/>
      <c r="U39" s="61"/>
    </row>
    <row r="40" spans="1:21" s="1" customFormat="1" x14ac:dyDescent="0.15">
      <c r="A40" s="84">
        <f>A17</f>
        <v>0</v>
      </c>
      <c r="B40" s="20">
        <f>B17</f>
        <v>4</v>
      </c>
      <c r="C40" s="31">
        <f>C17</f>
        <v>0</v>
      </c>
      <c r="D40" s="31" t="str">
        <f>+D17</f>
        <v/>
      </c>
      <c r="E40" s="33"/>
      <c r="F40" s="49"/>
      <c r="G40" s="24"/>
      <c r="H40" s="24"/>
      <c r="I40" s="63"/>
      <c r="J40" s="58"/>
      <c r="K40" s="58"/>
      <c r="L40" s="58"/>
      <c r="M40" s="58"/>
      <c r="N40" s="69">
        <v>36</v>
      </c>
      <c r="O40" s="69"/>
      <c r="P40" s="60">
        <f>+相手先マスタ!B37</f>
        <v>0</v>
      </c>
      <c r="Q40" s="60">
        <f>+相手先マスタ!D37</f>
        <v>0</v>
      </c>
      <c r="R40" s="61"/>
      <c r="S40" s="61"/>
      <c r="T40" s="61"/>
      <c r="U40" s="61"/>
    </row>
    <row r="41" spans="1:21" s="1" customFormat="1" x14ac:dyDescent="0.15">
      <c r="A41" s="85"/>
      <c r="B41" s="25"/>
      <c r="C41" s="50"/>
      <c r="D41" s="50">
        <f>D18</f>
        <v>0</v>
      </c>
      <c r="E41" s="51"/>
      <c r="F41" s="52">
        <f>F18</f>
        <v>0</v>
      </c>
      <c r="G41" s="30">
        <f>G18</f>
        <v>0</v>
      </c>
      <c r="H41" s="52">
        <f>H18</f>
        <v>0</v>
      </c>
      <c r="I41" s="120">
        <f>I18</f>
        <v>0</v>
      </c>
      <c r="J41" s="58"/>
      <c r="K41" s="58"/>
      <c r="L41" s="58"/>
      <c r="M41" s="58"/>
      <c r="N41" s="69">
        <v>37</v>
      </c>
      <c r="O41" s="69"/>
      <c r="P41" s="60">
        <f>+相手先マスタ!B38</f>
        <v>0</v>
      </c>
      <c r="Q41" s="60">
        <f>+相手先マスタ!D38</f>
        <v>0</v>
      </c>
      <c r="R41" s="61"/>
      <c r="S41" s="61"/>
      <c r="T41" s="61"/>
      <c r="U41" s="61"/>
    </row>
    <row r="42" spans="1:21" s="1" customFormat="1" x14ac:dyDescent="0.15">
      <c r="A42" s="84">
        <f>A19</f>
        <v>0</v>
      </c>
      <c r="B42" s="20">
        <f>B19</f>
        <v>5</v>
      </c>
      <c r="C42" s="31">
        <f>C19</f>
        <v>0</v>
      </c>
      <c r="D42" s="31" t="str">
        <f>+D19</f>
        <v/>
      </c>
      <c r="E42" s="33"/>
      <c r="F42" s="49"/>
      <c r="G42" s="24"/>
      <c r="H42" s="24"/>
      <c r="I42" s="63"/>
      <c r="J42" s="58"/>
      <c r="K42" s="58"/>
      <c r="L42" s="58"/>
      <c r="M42" s="58"/>
      <c r="N42" s="69">
        <v>38</v>
      </c>
      <c r="O42" s="69"/>
      <c r="P42" s="60" t="str">
        <f>+相手先マスタ!B39</f>
        <v>農協</v>
      </c>
      <c r="Q42" s="60" t="str">
        <f>+相手先マスタ!D39</f>
        <v>農協</v>
      </c>
      <c r="R42" s="61"/>
      <c r="S42" s="61"/>
      <c r="T42" s="61"/>
      <c r="U42" s="61"/>
    </row>
    <row r="43" spans="1:21" s="1" customFormat="1" ht="15" thickBot="1" x14ac:dyDescent="0.2">
      <c r="A43" s="84"/>
      <c r="B43" s="20"/>
      <c r="C43" s="31"/>
      <c r="D43" s="31">
        <f>D20</f>
        <v>0</v>
      </c>
      <c r="E43" s="33"/>
      <c r="F43" s="49">
        <f>F20</f>
        <v>0</v>
      </c>
      <c r="G43" s="34">
        <f>G20</f>
        <v>0</v>
      </c>
      <c r="H43" s="24">
        <f>H20</f>
        <v>0</v>
      </c>
      <c r="I43" s="120"/>
      <c r="J43" s="58"/>
      <c r="K43" s="58"/>
      <c r="L43" s="58"/>
      <c r="M43" s="58"/>
      <c r="N43" s="69">
        <v>39</v>
      </c>
      <c r="O43" s="69"/>
      <c r="P43" s="60" t="str">
        <f>+相手先マスタ!B40</f>
        <v>ヤマト運輸</v>
      </c>
      <c r="Q43" s="60" t="str">
        <f>+相手先マスタ!D40</f>
        <v>ヤマト運輸</v>
      </c>
      <c r="R43" s="61"/>
      <c r="S43" s="61"/>
      <c r="T43" s="61"/>
      <c r="U43" s="61"/>
    </row>
    <row r="44" spans="1:21" ht="18" thickBot="1" x14ac:dyDescent="0.2">
      <c r="A44" s="35"/>
      <c r="B44" s="36"/>
      <c r="C44" s="36"/>
      <c r="D44" s="36" t="s">
        <v>15</v>
      </c>
      <c r="E44" s="36"/>
      <c r="F44" s="123">
        <f>+F21</f>
        <v>8</v>
      </c>
      <c r="G44" s="38">
        <f>G21</f>
        <v>11158</v>
      </c>
      <c r="H44" s="39">
        <f>H21</f>
        <v>12050</v>
      </c>
      <c r="I44" s="37"/>
      <c r="J44" s="58"/>
      <c r="K44" s="58"/>
      <c r="L44" s="58"/>
      <c r="M44" s="58"/>
      <c r="N44" s="69">
        <v>40</v>
      </c>
      <c r="O44" s="69"/>
      <c r="P44" s="60" t="str">
        <f>+相手先マスタ!B41</f>
        <v>東京電力</v>
      </c>
      <c r="Q44" s="60" t="str">
        <f>+相手先マスタ!D41</f>
        <v>東京電力</v>
      </c>
      <c r="S44" s="61"/>
    </row>
    <row r="45" spans="1:21" s="1" customFormat="1" ht="18" thickBot="1" x14ac:dyDescent="0.2">
      <c r="A45" s="7"/>
      <c r="B45" s="7"/>
      <c r="C45" s="7"/>
      <c r="D45" s="7"/>
      <c r="E45" s="40" t="str">
        <f>E22</f>
        <v>消費税8%</v>
      </c>
      <c r="F45" s="41" t="str">
        <f>F22</f>
        <v>税 額</v>
      </c>
      <c r="G45" s="34">
        <f>G22</f>
        <v>892</v>
      </c>
      <c r="H45" s="41" t="str">
        <f>H22</f>
        <v>合計額</v>
      </c>
      <c r="I45" s="64">
        <f>+I22</f>
        <v>12050</v>
      </c>
      <c r="J45" s="58"/>
      <c r="K45" s="58"/>
      <c r="L45" s="58"/>
      <c r="M45" s="58"/>
      <c r="N45" s="69">
        <v>41</v>
      </c>
      <c r="O45" s="69"/>
      <c r="P45" s="60" t="str">
        <f>+相手先マスタ!B42</f>
        <v>au</v>
      </c>
      <c r="Q45" s="60" t="str">
        <f>+相手先マスタ!D42</f>
        <v>au</v>
      </c>
      <c r="R45" s="61"/>
      <c r="S45" s="61"/>
      <c r="T45" s="61"/>
      <c r="U45" s="61"/>
    </row>
    <row r="46" spans="1:21" s="1" customFormat="1" ht="21" x14ac:dyDescent="0.2">
      <c r="A46" s="54"/>
      <c r="B46" s="53" t="s">
        <v>17</v>
      </c>
      <c r="C46" s="54"/>
      <c r="D46" s="54"/>
      <c r="E46" s="54"/>
      <c r="F46" s="54"/>
      <c r="G46" s="54"/>
      <c r="H46" s="54"/>
      <c r="I46" s="54"/>
      <c r="J46" s="15" t="s">
        <v>1</v>
      </c>
      <c r="K46" s="7"/>
      <c r="L46" s="7"/>
      <c r="M46" s="58"/>
      <c r="N46" s="69">
        <v>42</v>
      </c>
      <c r="O46" s="88"/>
      <c r="P46" s="60">
        <f>+相手先マスタ!B43</f>
        <v>0</v>
      </c>
      <c r="Q46" s="60">
        <f>+相手先マスタ!D43</f>
        <v>0</v>
      </c>
      <c r="R46" s="61"/>
      <c r="S46" s="61"/>
      <c r="T46" s="61"/>
      <c r="U46" s="61"/>
    </row>
    <row r="47" spans="1:21" s="1" customFormat="1" ht="17.25" x14ac:dyDescent="0.2">
      <c r="A47" s="7" t="s">
        <v>25</v>
      </c>
      <c r="B47" s="7"/>
      <c r="C47" s="7"/>
      <c r="D47" s="7"/>
      <c r="E47" s="4"/>
      <c r="F47" s="4"/>
      <c r="G47" s="4"/>
      <c r="H47" s="4"/>
      <c r="I47" s="4"/>
      <c r="J47" s="9" t="s">
        <v>1</v>
      </c>
      <c r="K47" s="7"/>
      <c r="L47" s="7"/>
      <c r="M47" s="7"/>
      <c r="N47" s="69">
        <v>43</v>
      </c>
      <c r="O47" s="88"/>
      <c r="P47" s="60">
        <f>+相手先マスタ!B44</f>
        <v>0</v>
      </c>
      <c r="Q47" s="60">
        <f>+相手先マスタ!D44</f>
        <v>0</v>
      </c>
      <c r="R47" s="61"/>
      <c r="S47" s="61"/>
      <c r="T47" s="61"/>
      <c r="U47" s="61"/>
    </row>
    <row r="48" spans="1:21" s="1" customFormat="1" ht="17.25" x14ac:dyDescent="0.2">
      <c r="A48" s="7" t="s">
        <v>18</v>
      </c>
      <c r="B48" s="7"/>
      <c r="C48" s="7"/>
      <c r="D48" s="7"/>
      <c r="E48" s="4"/>
      <c r="F48" s="4"/>
      <c r="G48" s="4"/>
      <c r="H48" s="54"/>
      <c r="I48" s="67"/>
      <c r="J48" s="9"/>
      <c r="K48" s="7"/>
      <c r="L48" s="7"/>
      <c r="M48" s="7"/>
      <c r="N48" s="69">
        <v>44</v>
      </c>
      <c r="O48" s="88"/>
      <c r="P48" s="60">
        <f>+相手先マスタ!B45</f>
        <v>0</v>
      </c>
      <c r="Q48" s="60">
        <f>+相手先マスタ!D45</f>
        <v>0</v>
      </c>
      <c r="R48" s="61"/>
      <c r="S48" s="61"/>
      <c r="T48" s="61"/>
      <c r="U48" s="61"/>
    </row>
    <row r="49" spans="1:21" s="1" customFormat="1" ht="17.25" x14ac:dyDescent="0.2">
      <c r="A49" s="7" t="s">
        <v>19</v>
      </c>
      <c r="B49" s="7"/>
      <c r="C49" s="7"/>
      <c r="D49" s="7"/>
      <c r="E49" s="4"/>
      <c r="F49" s="4"/>
      <c r="G49" s="4"/>
      <c r="H49" s="54"/>
      <c r="I49" s="4"/>
      <c r="J49" s="9" t="s">
        <v>1</v>
      </c>
      <c r="K49" s="7"/>
      <c r="L49" s="7"/>
      <c r="M49" s="7"/>
      <c r="N49" s="69">
        <v>45</v>
      </c>
      <c r="O49" s="88"/>
      <c r="P49" s="60">
        <f>+相手先マスタ!B46</f>
        <v>0</v>
      </c>
      <c r="Q49" s="60">
        <f>+相手先マスタ!D46</f>
        <v>0</v>
      </c>
      <c r="R49" s="61"/>
      <c r="S49" s="61"/>
      <c r="T49" s="61"/>
      <c r="U49" s="61"/>
    </row>
    <row r="50" spans="1:21" s="1" customFormat="1" ht="17.25" x14ac:dyDescent="0.2">
      <c r="A50" s="55" t="s">
        <v>24</v>
      </c>
      <c r="B50" s="9"/>
      <c r="C50" s="7"/>
      <c r="D50" s="7"/>
      <c r="E50" s="4"/>
      <c r="F50" s="4"/>
      <c r="G50" s="4"/>
      <c r="H50" s="54"/>
      <c r="I50" s="4"/>
      <c r="J50" s="9" t="s">
        <v>1</v>
      </c>
      <c r="K50" s="7"/>
      <c r="L50" s="7"/>
      <c r="M50" s="7"/>
      <c r="N50" s="69">
        <v>46</v>
      </c>
      <c r="O50" s="88"/>
      <c r="P50" s="60">
        <f>+相手先マスタ!B47</f>
        <v>0</v>
      </c>
      <c r="Q50" s="60">
        <f>+相手先マスタ!D47</f>
        <v>0</v>
      </c>
      <c r="R50" s="61"/>
      <c r="S50" s="61"/>
      <c r="T50" s="61"/>
      <c r="U50" s="61"/>
    </row>
    <row r="51" spans="1:21" s="2" customFormat="1" x14ac:dyDescent="0.15">
      <c r="A51" s="56"/>
      <c r="B51" s="56"/>
      <c r="C51" s="56"/>
      <c r="D51" s="56"/>
      <c r="E51" s="56"/>
      <c r="F51" s="56"/>
      <c r="G51" s="56"/>
      <c r="H51" s="56"/>
      <c r="I51" s="56"/>
      <c r="J51" s="56"/>
      <c r="K51" s="56"/>
      <c r="L51" s="56"/>
      <c r="M51" s="56"/>
      <c r="N51" s="69">
        <v>47</v>
      </c>
      <c r="O51" s="88"/>
      <c r="P51" s="60">
        <f>+相手先マスタ!B48</f>
        <v>0</v>
      </c>
      <c r="Q51" s="60">
        <f>+相手先マスタ!D48</f>
        <v>0</v>
      </c>
      <c r="R51" s="56"/>
      <c r="S51" s="61"/>
      <c r="T51" s="61"/>
      <c r="U51" s="56"/>
    </row>
    <row r="52" spans="1:21" x14ac:dyDescent="0.15">
      <c r="N52" s="69">
        <v>48</v>
      </c>
      <c r="P52" s="60">
        <f>+相手先マスタ!B49</f>
        <v>0</v>
      </c>
      <c r="Q52" s="60">
        <f>+相手先マスタ!D49</f>
        <v>0</v>
      </c>
      <c r="S52" s="61"/>
    </row>
    <row r="53" spans="1:21" ht="21" x14ac:dyDescent="0.2">
      <c r="A53" s="6"/>
      <c r="B53" s="7"/>
      <c r="C53" s="7"/>
      <c r="E53" s="8" t="s">
        <v>155</v>
      </c>
      <c r="F53" s="7"/>
      <c r="G53" s="10" t="s">
        <v>4</v>
      </c>
      <c r="H53" s="11">
        <f>+H1</f>
        <v>26082401</v>
      </c>
      <c r="I53" s="92"/>
      <c r="N53" s="69">
        <v>49</v>
      </c>
      <c r="P53" s="60">
        <f>+相手先マスタ!B50</f>
        <v>0</v>
      </c>
      <c r="Q53" s="60">
        <f>+相手先マスタ!D50</f>
        <v>0</v>
      </c>
      <c r="S53" s="61"/>
    </row>
    <row r="54" spans="1:21" x14ac:dyDescent="0.15">
      <c r="A54" s="12" t="s">
        <v>6</v>
      </c>
      <c r="B54" s="13">
        <f>+B2</f>
        <v>1</v>
      </c>
      <c r="C54" s="14"/>
      <c r="D54" s="14"/>
      <c r="E54" s="7"/>
      <c r="F54" s="7"/>
      <c r="G54" s="7"/>
      <c r="H54" s="7"/>
      <c r="I54" s="93">
        <f ca="1">+IF(OR(M54="当日",M54=0),TODAY(),M54)</f>
        <v>46300</v>
      </c>
      <c r="N54" s="69">
        <v>50</v>
      </c>
      <c r="P54" s="60">
        <f>+相手先マスタ!B51</f>
        <v>0</v>
      </c>
      <c r="Q54" s="60">
        <f>+相手先マスタ!D51</f>
        <v>0</v>
      </c>
      <c r="S54" s="61"/>
    </row>
    <row r="55" spans="1:21" ht="21" x14ac:dyDescent="0.2">
      <c r="A55" s="47">
        <f>+A3</f>
        <v>0</v>
      </c>
      <c r="B55" s="13"/>
      <c r="C55" s="13"/>
      <c r="D55" s="13"/>
      <c r="E55" s="13"/>
      <c r="F55" s="15" t="s">
        <v>1</v>
      </c>
      <c r="G55" s="9"/>
      <c r="H55" s="7"/>
      <c r="I55" s="7"/>
      <c r="N55" s="69">
        <v>51</v>
      </c>
      <c r="P55" s="60">
        <f>+相手先マスタ!B52</f>
        <v>0</v>
      </c>
      <c r="Q55" s="60">
        <f>+相手先マスタ!D52</f>
        <v>0</v>
      </c>
      <c r="S55" s="61"/>
    </row>
    <row r="56" spans="1:21" x14ac:dyDescent="0.15">
      <c r="A56" s="7"/>
      <c r="B56" s="7"/>
      <c r="C56" s="7"/>
      <c r="D56" s="7"/>
      <c r="E56" s="7"/>
      <c r="F56" s="7"/>
      <c r="G56" s="7" t="str">
        <f>+G27</f>
        <v xml:space="preserve"> 〒住所</v>
      </c>
      <c r="H56" s="7"/>
      <c r="I56" s="7"/>
      <c r="N56" s="69">
        <v>52</v>
      </c>
      <c r="P56" s="60">
        <f>+相手先マスタ!B53</f>
        <v>0</v>
      </c>
      <c r="Q56" s="60">
        <f>+相手先マスタ!D53</f>
        <v>0</v>
      </c>
      <c r="S56" s="61">
        <v>11</v>
      </c>
      <c r="T56" s="61" t="s">
        <v>158</v>
      </c>
    </row>
    <row r="57" spans="1:21" ht="17.25" x14ac:dyDescent="0.2">
      <c r="A57" s="48" t="str">
        <f>+A5</f>
        <v>佐藤  様</v>
      </c>
      <c r="B57" s="13"/>
      <c r="C57" s="13"/>
      <c r="D57" s="13"/>
      <c r="E57" s="13"/>
      <c r="F57" s="7"/>
      <c r="G57" s="94" t="str">
        <f>+G28</f>
        <v xml:space="preserve">   TEL 電話番号</v>
      </c>
      <c r="H57" s="9"/>
      <c r="I57" s="7"/>
      <c r="N57" s="69">
        <v>53</v>
      </c>
      <c r="P57" s="60">
        <f>+相手先マスタ!B54</f>
        <v>0</v>
      </c>
      <c r="Q57" s="60">
        <f>+相手先マスタ!D54</f>
        <v>0</v>
      </c>
      <c r="S57" s="61">
        <v>12</v>
      </c>
      <c r="T57" s="61" t="s">
        <v>159</v>
      </c>
    </row>
    <row r="58" spans="1:21" x14ac:dyDescent="0.15">
      <c r="A58" s="6"/>
      <c r="B58" s="6"/>
      <c r="C58" s="6"/>
      <c r="D58" s="6"/>
      <c r="E58" s="6"/>
      <c r="F58" s="6"/>
      <c r="G58" s="6"/>
      <c r="H58" s="131" t="str">
        <f>+H29</f>
        <v>代表者名</v>
      </c>
      <c r="I58" s="132"/>
      <c r="N58" s="69">
        <v>54</v>
      </c>
      <c r="P58" s="60">
        <f>+相手先マスタ!B55</f>
        <v>0</v>
      </c>
      <c r="Q58" s="60">
        <f>+相手先マスタ!D55</f>
        <v>0</v>
      </c>
      <c r="S58" s="61">
        <v>13</v>
      </c>
      <c r="T58" s="61" t="s">
        <v>160</v>
      </c>
    </row>
    <row r="59" spans="1:21" x14ac:dyDescent="0.15">
      <c r="A59" s="6" t="s">
        <v>7</v>
      </c>
      <c r="B59" s="6"/>
      <c r="C59" s="6"/>
      <c r="D59" s="7"/>
      <c r="E59" s="7"/>
      <c r="F59" s="7"/>
      <c r="G59" s="7"/>
      <c r="H59" s="133"/>
      <c r="I59" s="133"/>
      <c r="N59" s="69">
        <v>55</v>
      </c>
      <c r="P59" s="60">
        <f>+相手先マスタ!B56</f>
        <v>0</v>
      </c>
      <c r="Q59" s="60">
        <f>+相手先マスタ!D56</f>
        <v>0</v>
      </c>
      <c r="S59" s="61">
        <v>14</v>
      </c>
      <c r="T59" s="61" t="s">
        <v>161</v>
      </c>
    </row>
    <row r="60" spans="1:21" x14ac:dyDescent="0.15">
      <c r="A60" s="6" t="s">
        <v>8</v>
      </c>
      <c r="B60" s="6"/>
      <c r="C60" s="6"/>
      <c r="D60" s="7"/>
      <c r="E60" s="7"/>
      <c r="F60" s="7"/>
      <c r="G60" s="7"/>
      <c r="H60" s="6"/>
      <c r="I60" s="6"/>
      <c r="N60" s="69">
        <v>56</v>
      </c>
      <c r="P60" s="60">
        <f>+相手先マスタ!B57</f>
        <v>0</v>
      </c>
      <c r="Q60" s="60">
        <f>+相手先マスタ!D57</f>
        <v>0</v>
      </c>
      <c r="S60" s="61">
        <v>15</v>
      </c>
      <c r="T60" s="61" t="s">
        <v>162</v>
      </c>
    </row>
    <row r="61" spans="1:21" ht="15" thickBot="1" x14ac:dyDescent="0.2">
      <c r="A61" s="16"/>
      <c r="B61" s="16"/>
      <c r="C61" s="16"/>
      <c r="D61" s="16"/>
      <c r="E61" s="16"/>
      <c r="F61" s="16"/>
      <c r="G61" s="16"/>
      <c r="H61" s="16"/>
      <c r="I61" s="16"/>
      <c r="N61" s="69">
        <v>57</v>
      </c>
      <c r="P61" s="60">
        <f>+相手先マスタ!B58</f>
        <v>0</v>
      </c>
      <c r="Q61" s="60">
        <f>+相手先マスタ!D58</f>
        <v>0</v>
      </c>
      <c r="S61" s="61">
        <v>16</v>
      </c>
      <c r="T61" s="61" t="s">
        <v>171</v>
      </c>
    </row>
    <row r="62" spans="1:21" ht="15" thickBot="1" x14ac:dyDescent="0.2">
      <c r="A62" s="17" t="s">
        <v>98</v>
      </c>
      <c r="B62" s="18"/>
      <c r="C62" s="18"/>
      <c r="D62" s="18" t="s">
        <v>10</v>
      </c>
      <c r="E62" s="18"/>
      <c r="F62" s="19" t="s">
        <v>11</v>
      </c>
      <c r="G62" s="19" t="s">
        <v>12</v>
      </c>
      <c r="H62" s="19" t="s">
        <v>166</v>
      </c>
      <c r="I62" s="19" t="s">
        <v>163</v>
      </c>
      <c r="N62" s="69">
        <v>58</v>
      </c>
      <c r="P62" s="60">
        <f>+相手先マスタ!B59</f>
        <v>0</v>
      </c>
      <c r="Q62" s="60">
        <f>+相手先マスタ!D59</f>
        <v>0</v>
      </c>
      <c r="S62" s="61">
        <v>17</v>
      </c>
    </row>
    <row r="63" spans="1:21" ht="15" thickTop="1" x14ac:dyDescent="0.15">
      <c r="A63" s="84">
        <v>11</v>
      </c>
      <c r="B63" s="20">
        <v>1</v>
      </c>
      <c r="C63" s="21"/>
      <c r="D63" s="90" t="str">
        <f>IFERROR(VLOOKUP(A63, S$5:T$99, 2, FALSE), "")</f>
        <v>じゃがいも</v>
      </c>
      <c r="E63" s="22"/>
      <c r="F63" s="23"/>
      <c r="G63" s="23"/>
      <c r="H63" s="24"/>
      <c r="I63" s="86"/>
      <c r="N63" s="69">
        <v>59</v>
      </c>
      <c r="P63" s="60">
        <f>+相手先マスタ!B60</f>
        <v>0</v>
      </c>
      <c r="Q63" s="60">
        <f>+相手先マスタ!D60</f>
        <v>0</v>
      </c>
      <c r="S63" s="61">
        <v>18</v>
      </c>
    </row>
    <row r="64" spans="1:21" x14ac:dyDescent="0.15">
      <c r="A64" s="85"/>
      <c r="B64" s="25"/>
      <c r="C64" s="26"/>
      <c r="D64" s="26"/>
      <c r="E64" s="27"/>
      <c r="F64" s="28">
        <v>1</v>
      </c>
      <c r="G64" s="29">
        <v>100</v>
      </c>
      <c r="H64" s="30">
        <f>+F64*G64</f>
        <v>100</v>
      </c>
      <c r="I64" s="120">
        <v>1</v>
      </c>
      <c r="N64" s="69">
        <v>60</v>
      </c>
      <c r="P64" s="60">
        <f>+相手先マスタ!B61</f>
        <v>0</v>
      </c>
      <c r="Q64" s="60">
        <f>+相手先マスタ!D61</f>
        <v>0</v>
      </c>
      <c r="S64" s="61">
        <v>19</v>
      </c>
    </row>
    <row r="65" spans="1:19" x14ac:dyDescent="0.15">
      <c r="A65" s="84">
        <v>12</v>
      </c>
      <c r="B65" s="20">
        <v>2</v>
      </c>
      <c r="C65" s="21"/>
      <c r="D65" s="90" t="str">
        <f>IFERROR(VLOOKUP(A65, S$5:T$99, 2, FALSE), "")</f>
        <v>オクラ</v>
      </c>
      <c r="E65" s="22"/>
      <c r="F65" s="23"/>
      <c r="G65" s="23"/>
      <c r="H65" s="24"/>
      <c r="I65" s="86"/>
      <c r="N65" s="69">
        <v>61</v>
      </c>
      <c r="P65" s="60">
        <f>+相手先マスタ!B62</f>
        <v>0</v>
      </c>
      <c r="Q65" s="60">
        <f>+相手先マスタ!D62</f>
        <v>0</v>
      </c>
      <c r="S65" s="61">
        <v>20</v>
      </c>
    </row>
    <row r="66" spans="1:19" x14ac:dyDescent="0.15">
      <c r="A66" s="85"/>
      <c r="B66" s="25"/>
      <c r="C66" s="26"/>
      <c r="D66" s="26"/>
      <c r="E66" s="27"/>
      <c r="F66" s="28">
        <v>1</v>
      </c>
      <c r="G66" s="29">
        <v>100</v>
      </c>
      <c r="H66" s="30">
        <f>+F66*G66</f>
        <v>100</v>
      </c>
      <c r="I66" s="120">
        <v>1</v>
      </c>
      <c r="N66" s="69">
        <v>62</v>
      </c>
      <c r="P66" s="60">
        <f>+相手先マスタ!B63</f>
        <v>0</v>
      </c>
      <c r="Q66" s="60">
        <f>+相手先マスタ!D63</f>
        <v>0</v>
      </c>
      <c r="S66" s="61">
        <v>21</v>
      </c>
    </row>
    <row r="67" spans="1:19" x14ac:dyDescent="0.15">
      <c r="A67" s="84">
        <v>13</v>
      </c>
      <c r="B67" s="20">
        <v>3</v>
      </c>
      <c r="C67" s="21"/>
      <c r="D67" s="90" t="str">
        <f>IFERROR(VLOOKUP(A67, S$5:T$99, 2, FALSE), "")</f>
        <v>ナス</v>
      </c>
      <c r="E67" s="22"/>
      <c r="F67" s="23"/>
      <c r="G67" s="23"/>
      <c r="H67" s="24"/>
      <c r="I67" s="86"/>
      <c r="N67" s="69">
        <v>63</v>
      </c>
      <c r="P67" s="60">
        <f>+相手先マスタ!B64</f>
        <v>0</v>
      </c>
      <c r="Q67" s="60">
        <f>+相手先マスタ!D64</f>
        <v>0</v>
      </c>
      <c r="S67" s="61">
        <v>22</v>
      </c>
    </row>
    <row r="68" spans="1:19" x14ac:dyDescent="0.15">
      <c r="A68" s="85"/>
      <c r="B68" s="25"/>
      <c r="C68" s="26"/>
      <c r="D68" s="26"/>
      <c r="E68" s="27"/>
      <c r="F68" s="28">
        <v>1</v>
      </c>
      <c r="G68" s="29">
        <v>100</v>
      </c>
      <c r="H68" s="30">
        <f>+F68*G68</f>
        <v>100</v>
      </c>
      <c r="I68" s="120">
        <v>1</v>
      </c>
      <c r="N68" s="69">
        <v>64</v>
      </c>
      <c r="P68" s="60">
        <f>+相手先マスタ!B65</f>
        <v>0</v>
      </c>
      <c r="Q68" s="60">
        <f>+相手先マスタ!D65</f>
        <v>0</v>
      </c>
      <c r="S68" s="61">
        <v>23</v>
      </c>
    </row>
    <row r="69" spans="1:19" x14ac:dyDescent="0.15">
      <c r="A69" s="84">
        <v>14</v>
      </c>
      <c r="B69" s="20">
        <v>4</v>
      </c>
      <c r="C69" s="21"/>
      <c r="D69" s="90" t="str">
        <f>IFERROR(VLOOKUP(A69, S$5:T$99, 2, FALSE), "")</f>
        <v>きゅうり</v>
      </c>
      <c r="E69" s="22"/>
      <c r="F69" s="23"/>
      <c r="G69" s="23"/>
      <c r="H69" s="24"/>
      <c r="I69" s="86"/>
      <c r="N69" s="69">
        <v>65</v>
      </c>
      <c r="P69" s="60">
        <f>+相手先マスタ!B66</f>
        <v>0</v>
      </c>
      <c r="Q69" s="60">
        <f>+相手先マスタ!D66</f>
        <v>0</v>
      </c>
      <c r="S69" s="61">
        <v>24</v>
      </c>
    </row>
    <row r="70" spans="1:19" x14ac:dyDescent="0.15">
      <c r="A70" s="85"/>
      <c r="B70" s="25"/>
      <c r="C70" s="26"/>
      <c r="D70" s="26"/>
      <c r="E70" s="27"/>
      <c r="F70" s="28">
        <v>1</v>
      </c>
      <c r="G70" s="29">
        <v>150</v>
      </c>
      <c r="H70" s="30">
        <f>+F70*G70</f>
        <v>150</v>
      </c>
      <c r="I70" s="120">
        <v>1</v>
      </c>
      <c r="N70" s="69">
        <v>66</v>
      </c>
      <c r="P70" s="60">
        <f>+相手先マスタ!B67</f>
        <v>0</v>
      </c>
      <c r="Q70" s="60">
        <f>+相手先マスタ!D67</f>
        <v>0</v>
      </c>
      <c r="S70" s="61">
        <v>25</v>
      </c>
    </row>
    <row r="71" spans="1:19" x14ac:dyDescent="0.15">
      <c r="A71" s="100"/>
      <c r="B71" s="101">
        <v>5</v>
      </c>
      <c r="C71" s="102"/>
      <c r="D71" s="103" t="str">
        <f>IFERROR(VLOOKUP(A71, S$5:T$99, 2, FALSE), "")</f>
        <v/>
      </c>
      <c r="E71" s="104"/>
      <c r="F71" s="105"/>
      <c r="G71" s="106"/>
      <c r="H71" s="24"/>
      <c r="I71" s="107"/>
      <c r="N71" s="69">
        <v>67</v>
      </c>
      <c r="P71" s="60">
        <f>+相手先マスタ!B68</f>
        <v>0</v>
      </c>
      <c r="Q71" s="60">
        <f>+相手先マスタ!D68</f>
        <v>0</v>
      </c>
      <c r="S71" s="61">
        <v>26</v>
      </c>
    </row>
    <row r="72" spans="1:19" x14ac:dyDescent="0.15">
      <c r="A72" s="85"/>
      <c r="B72" s="25"/>
      <c r="C72" s="26"/>
      <c r="D72" s="26"/>
      <c r="E72" s="27"/>
      <c r="F72" s="28"/>
      <c r="G72" s="29"/>
      <c r="H72" s="30">
        <f>+F72*G72</f>
        <v>0</v>
      </c>
      <c r="I72" s="120"/>
      <c r="N72" s="69">
        <v>68</v>
      </c>
      <c r="P72" s="60">
        <f>+相手先マスタ!B69</f>
        <v>0</v>
      </c>
      <c r="Q72" s="60">
        <f>+相手先マスタ!D69</f>
        <v>0</v>
      </c>
      <c r="S72" s="61">
        <v>27</v>
      </c>
    </row>
    <row r="73" spans="1:19" x14ac:dyDescent="0.15">
      <c r="A73" s="84"/>
      <c r="B73" s="20">
        <v>6</v>
      </c>
      <c r="C73" s="21"/>
      <c r="D73" s="90" t="str">
        <f>IFERROR(VLOOKUP(A73, S$5:T$99, 2, FALSE), "")</f>
        <v/>
      </c>
      <c r="E73" s="22"/>
      <c r="F73" s="23"/>
      <c r="G73" s="99"/>
      <c r="H73" s="24"/>
      <c r="I73" s="87"/>
      <c r="N73" s="69">
        <v>69</v>
      </c>
      <c r="P73" s="60">
        <f>+相手先マスタ!B70</f>
        <v>0</v>
      </c>
      <c r="Q73" s="60">
        <f>+相手先マスタ!D70</f>
        <v>0</v>
      </c>
      <c r="S73" s="61">
        <v>28</v>
      </c>
    </row>
    <row r="74" spans="1:19" x14ac:dyDescent="0.15">
      <c r="A74" s="108"/>
      <c r="B74" s="109"/>
      <c r="C74" s="110"/>
      <c r="D74" s="110"/>
      <c r="E74" s="111"/>
      <c r="F74" s="112"/>
      <c r="G74" s="113"/>
      <c r="H74" s="30">
        <f>+F74*G74</f>
        <v>0</v>
      </c>
      <c r="I74" s="122"/>
      <c r="N74" s="69">
        <v>70</v>
      </c>
      <c r="P74" s="60">
        <f>+相手先マスタ!B71</f>
        <v>0</v>
      </c>
      <c r="Q74" s="60">
        <f>+相手先マスタ!D71</f>
        <v>0</v>
      </c>
      <c r="S74" s="61">
        <v>29</v>
      </c>
    </row>
    <row r="75" spans="1:19" x14ac:dyDescent="0.15">
      <c r="A75" s="84"/>
      <c r="B75" s="20">
        <v>7</v>
      </c>
      <c r="C75" s="21"/>
      <c r="D75" s="90" t="str">
        <f>IFERROR(VLOOKUP(A75, S$5:T$99, 2, FALSE), "")</f>
        <v/>
      </c>
      <c r="E75" s="22"/>
      <c r="F75" s="23"/>
      <c r="G75" s="99"/>
      <c r="H75" s="24"/>
      <c r="I75" s="87"/>
      <c r="N75" s="69">
        <v>71</v>
      </c>
      <c r="P75" s="60">
        <f>+相手先マスタ!B72</f>
        <v>0</v>
      </c>
      <c r="Q75" s="60">
        <f>+相手先マスタ!D72</f>
        <v>0</v>
      </c>
      <c r="S75" s="61">
        <v>30</v>
      </c>
    </row>
    <row r="76" spans="1:19" x14ac:dyDescent="0.15">
      <c r="A76" s="108"/>
      <c r="B76" s="109"/>
      <c r="C76" s="110"/>
      <c r="D76" s="110"/>
      <c r="E76" s="111"/>
      <c r="F76" s="112"/>
      <c r="G76" s="113"/>
      <c r="H76" s="30">
        <f>+F76*G76</f>
        <v>0</v>
      </c>
      <c r="I76" s="122"/>
      <c r="N76" s="69">
        <v>72</v>
      </c>
      <c r="P76" s="60">
        <f>+相手先マスタ!B73</f>
        <v>0</v>
      </c>
      <c r="Q76" s="60">
        <f>+相手先マスタ!D73</f>
        <v>0</v>
      </c>
      <c r="S76" s="61">
        <v>31</v>
      </c>
    </row>
    <row r="77" spans="1:19" x14ac:dyDescent="0.15">
      <c r="A77" s="84"/>
      <c r="B77" s="20">
        <v>8</v>
      </c>
      <c r="C77" s="21"/>
      <c r="D77" s="90" t="str">
        <f>IFERROR(VLOOKUP(A77, S$5:T$99, 2, FALSE), "")</f>
        <v/>
      </c>
      <c r="E77" s="22"/>
      <c r="F77" s="23"/>
      <c r="G77" s="99"/>
      <c r="H77" s="24"/>
      <c r="I77" s="87"/>
      <c r="N77" s="69">
        <v>73</v>
      </c>
      <c r="P77" s="60">
        <f>+相手先マスタ!B74</f>
        <v>0</v>
      </c>
      <c r="Q77" s="60">
        <f>+相手先マスタ!D74</f>
        <v>0</v>
      </c>
      <c r="S77" s="61">
        <v>32</v>
      </c>
    </row>
    <row r="78" spans="1:19" x14ac:dyDescent="0.15">
      <c r="A78" s="108"/>
      <c r="B78" s="109"/>
      <c r="C78" s="110"/>
      <c r="D78" s="110"/>
      <c r="E78" s="111"/>
      <c r="F78" s="112"/>
      <c r="G78" s="113"/>
      <c r="H78" s="30">
        <f>+F78*G78</f>
        <v>0</v>
      </c>
      <c r="I78" s="122"/>
      <c r="N78" s="69">
        <v>74</v>
      </c>
      <c r="P78" s="60">
        <f>+相手先マスタ!B75</f>
        <v>0</v>
      </c>
      <c r="Q78" s="60">
        <f>+相手先マスタ!D75</f>
        <v>0</v>
      </c>
      <c r="S78" s="61">
        <v>33</v>
      </c>
    </row>
    <row r="79" spans="1:19" x14ac:dyDescent="0.15">
      <c r="A79" s="84"/>
      <c r="B79" s="20">
        <v>9</v>
      </c>
      <c r="C79" s="21"/>
      <c r="D79" s="90" t="str">
        <f>IFERROR(VLOOKUP(A79, S$5:T$99, 2, FALSE), "")</f>
        <v/>
      </c>
      <c r="E79" s="22"/>
      <c r="F79" s="23"/>
      <c r="G79" s="99"/>
      <c r="H79" s="24"/>
      <c r="I79" s="87"/>
      <c r="N79" s="69">
        <v>75</v>
      </c>
      <c r="P79" s="60">
        <f>+相手先マスタ!B76</f>
        <v>0</v>
      </c>
      <c r="Q79" s="60">
        <f>+相手先マスタ!D76</f>
        <v>0</v>
      </c>
      <c r="S79" s="61">
        <v>34</v>
      </c>
    </row>
    <row r="80" spans="1:19" x14ac:dyDescent="0.15">
      <c r="A80" s="108"/>
      <c r="B80" s="109"/>
      <c r="C80" s="110"/>
      <c r="D80" s="110"/>
      <c r="E80" s="111"/>
      <c r="F80" s="112"/>
      <c r="G80" s="113"/>
      <c r="H80" s="30">
        <f>+F80*G80</f>
        <v>0</v>
      </c>
      <c r="I80" s="122"/>
      <c r="N80" s="69">
        <v>76</v>
      </c>
      <c r="P80" s="60">
        <f>+相手先マスタ!B77</f>
        <v>0</v>
      </c>
      <c r="Q80" s="60">
        <f>+相手先マスタ!D77</f>
        <v>0</v>
      </c>
      <c r="S80" s="61">
        <v>35</v>
      </c>
    </row>
    <row r="81" spans="1:19" x14ac:dyDescent="0.15">
      <c r="A81" s="84"/>
      <c r="B81" s="20">
        <v>10</v>
      </c>
      <c r="C81" s="21"/>
      <c r="D81" s="90" t="str">
        <f>IFERROR(VLOOKUP(A81, S$5:T$99, 2, FALSE), "")</f>
        <v/>
      </c>
      <c r="E81" s="22"/>
      <c r="F81" s="23"/>
      <c r="G81" s="99"/>
      <c r="H81" s="24"/>
      <c r="I81" s="87"/>
      <c r="N81" s="69">
        <v>77</v>
      </c>
      <c r="P81" s="60">
        <f>+相手先マスタ!B78</f>
        <v>0</v>
      </c>
      <c r="Q81" s="60">
        <f>+相手先マスタ!D78</f>
        <v>0</v>
      </c>
      <c r="S81" s="61">
        <v>36</v>
      </c>
    </row>
    <row r="82" spans="1:19" x14ac:dyDescent="0.15">
      <c r="A82" s="108"/>
      <c r="B82" s="109"/>
      <c r="C82" s="110"/>
      <c r="D82" s="110"/>
      <c r="E82" s="111"/>
      <c r="F82" s="112"/>
      <c r="G82" s="113"/>
      <c r="H82" s="30">
        <f>+F82*G82</f>
        <v>0</v>
      </c>
      <c r="I82" s="122"/>
      <c r="N82" s="69">
        <v>78</v>
      </c>
      <c r="P82" s="60">
        <f>+相手先マスタ!B79</f>
        <v>0</v>
      </c>
      <c r="Q82" s="60">
        <f>+相手先マスタ!D79</f>
        <v>0</v>
      </c>
      <c r="S82" s="61">
        <v>37</v>
      </c>
    </row>
    <row r="83" spans="1:19" x14ac:dyDescent="0.15">
      <c r="A83" s="84"/>
      <c r="B83" s="20">
        <v>11</v>
      </c>
      <c r="C83" s="21"/>
      <c r="D83" s="90" t="str">
        <f>IFERROR(VLOOKUP(A83, S$5:T$99, 2, FALSE), "")</f>
        <v/>
      </c>
      <c r="E83" s="22"/>
      <c r="F83" s="23"/>
      <c r="G83" s="99"/>
      <c r="H83" s="24"/>
      <c r="I83" s="87"/>
      <c r="N83" s="69">
        <v>79</v>
      </c>
      <c r="P83" s="60">
        <f>+相手先マスタ!B80</f>
        <v>0</v>
      </c>
      <c r="Q83" s="60">
        <f>+相手先マスタ!D80</f>
        <v>0</v>
      </c>
      <c r="S83" s="61">
        <v>38</v>
      </c>
    </row>
    <row r="84" spans="1:19" x14ac:dyDescent="0.15">
      <c r="A84" s="108"/>
      <c r="B84" s="109"/>
      <c r="C84" s="110"/>
      <c r="D84" s="110"/>
      <c r="E84" s="111"/>
      <c r="F84" s="112"/>
      <c r="G84" s="113"/>
      <c r="H84" s="30">
        <f>+F84*G84</f>
        <v>0</v>
      </c>
      <c r="I84" s="122"/>
      <c r="N84" s="69">
        <v>80</v>
      </c>
      <c r="P84" s="60">
        <f>+相手先マスタ!B81</f>
        <v>0</v>
      </c>
      <c r="Q84" s="60">
        <f>+相手先マスタ!D81</f>
        <v>0</v>
      </c>
      <c r="S84" s="61">
        <v>39</v>
      </c>
    </row>
    <row r="85" spans="1:19" x14ac:dyDescent="0.15">
      <c r="A85" s="84"/>
      <c r="B85" s="20">
        <v>12</v>
      </c>
      <c r="C85" s="21"/>
      <c r="D85" s="90" t="str">
        <f>IFERROR(VLOOKUP(A85, S$5:T$99, 2, FALSE), "")</f>
        <v/>
      </c>
      <c r="E85" s="22"/>
      <c r="F85" s="23"/>
      <c r="G85" s="99"/>
      <c r="H85" s="24"/>
      <c r="I85" s="87"/>
      <c r="N85" s="69">
        <v>81</v>
      </c>
      <c r="P85" s="60">
        <f>+相手先マスタ!B82</f>
        <v>0</v>
      </c>
      <c r="Q85" s="60">
        <f>+相手先マスタ!D82</f>
        <v>0</v>
      </c>
      <c r="S85" s="61">
        <v>40</v>
      </c>
    </row>
    <row r="86" spans="1:19" x14ac:dyDescent="0.15">
      <c r="A86" s="108"/>
      <c r="B86" s="109"/>
      <c r="C86" s="110"/>
      <c r="D86" s="110"/>
      <c r="E86" s="111"/>
      <c r="F86" s="112"/>
      <c r="G86" s="113"/>
      <c r="H86" s="30">
        <f>+F86*G86</f>
        <v>0</v>
      </c>
      <c r="I86" s="122"/>
      <c r="N86" s="69">
        <v>82</v>
      </c>
      <c r="P86" s="60">
        <f>+相手先マスタ!B83</f>
        <v>0</v>
      </c>
      <c r="Q86" s="60">
        <f>+相手先マスタ!D83</f>
        <v>0</v>
      </c>
      <c r="S86" s="61">
        <v>41</v>
      </c>
    </row>
    <row r="87" spans="1:19" x14ac:dyDescent="0.15">
      <c r="A87" s="84"/>
      <c r="B87" s="20">
        <v>13</v>
      </c>
      <c r="C87" s="21"/>
      <c r="D87" s="90" t="str">
        <f>IFERROR(VLOOKUP(A87, S$5:T$99, 2, FALSE), "")</f>
        <v/>
      </c>
      <c r="E87" s="22"/>
      <c r="F87" s="23"/>
      <c r="G87" s="99"/>
      <c r="H87" s="24"/>
      <c r="I87" s="87"/>
      <c r="N87" s="69">
        <v>83</v>
      </c>
      <c r="P87" s="60">
        <f>+相手先マスタ!B84</f>
        <v>0</v>
      </c>
      <c r="Q87" s="60">
        <f>+相手先マスタ!D84</f>
        <v>0</v>
      </c>
      <c r="S87" s="61">
        <v>42</v>
      </c>
    </row>
    <row r="88" spans="1:19" x14ac:dyDescent="0.15">
      <c r="A88" s="108"/>
      <c r="B88" s="109"/>
      <c r="C88" s="110"/>
      <c r="D88" s="110"/>
      <c r="E88" s="111"/>
      <c r="F88" s="112"/>
      <c r="G88" s="113"/>
      <c r="H88" s="30">
        <f>+F88*G88</f>
        <v>0</v>
      </c>
      <c r="I88" s="122"/>
      <c r="N88" s="69">
        <v>84</v>
      </c>
      <c r="P88" s="60">
        <f>+相手先マスタ!B85</f>
        <v>0</v>
      </c>
      <c r="Q88" s="60">
        <f>+相手先マスタ!D85</f>
        <v>0</v>
      </c>
      <c r="S88" s="61">
        <v>43</v>
      </c>
    </row>
    <row r="89" spans="1:19" x14ac:dyDescent="0.15">
      <c r="A89" s="84"/>
      <c r="B89" s="20">
        <v>14</v>
      </c>
      <c r="C89" s="21"/>
      <c r="D89" s="90" t="str">
        <f>IFERROR(VLOOKUP(A89, S$5:T$99, 2, FALSE), "")</f>
        <v/>
      </c>
      <c r="E89" s="22"/>
      <c r="F89" s="23"/>
      <c r="G89" s="99"/>
      <c r="H89" s="24"/>
      <c r="I89" s="87"/>
      <c r="N89" s="69">
        <v>85</v>
      </c>
      <c r="P89" s="60">
        <f>+相手先マスタ!B86</f>
        <v>0</v>
      </c>
      <c r="Q89" s="60">
        <f>+相手先マスタ!D86</f>
        <v>0</v>
      </c>
      <c r="S89" s="61">
        <v>44</v>
      </c>
    </row>
    <row r="90" spans="1:19" x14ac:dyDescent="0.15">
      <c r="A90" s="108"/>
      <c r="B90" s="109"/>
      <c r="C90" s="110"/>
      <c r="D90" s="110"/>
      <c r="E90" s="111"/>
      <c r="F90" s="112"/>
      <c r="G90" s="113"/>
      <c r="H90" s="30">
        <f>+F90*G90</f>
        <v>0</v>
      </c>
      <c r="I90" s="122"/>
      <c r="N90" s="69">
        <v>86</v>
      </c>
      <c r="P90" s="60">
        <f>+相手先マスタ!B87</f>
        <v>0</v>
      </c>
      <c r="Q90" s="60">
        <f>+相手先マスタ!D87</f>
        <v>0</v>
      </c>
      <c r="S90" s="61">
        <v>45</v>
      </c>
    </row>
    <row r="91" spans="1:19" x14ac:dyDescent="0.15">
      <c r="A91" s="84"/>
      <c r="B91" s="20">
        <v>15</v>
      </c>
      <c r="C91" s="21"/>
      <c r="D91" s="90" t="str">
        <f>IFERROR(VLOOKUP(A91, S$5:T$99, 2, FALSE), "")</f>
        <v/>
      </c>
      <c r="E91" s="22"/>
      <c r="F91" s="23"/>
      <c r="G91" s="99"/>
      <c r="H91" s="24"/>
      <c r="I91" s="87"/>
      <c r="N91" s="69">
        <v>87</v>
      </c>
      <c r="P91" s="60">
        <f>+相手先マスタ!B88</f>
        <v>0</v>
      </c>
      <c r="Q91" s="60">
        <f>+相手先マスタ!D88</f>
        <v>0</v>
      </c>
      <c r="S91" s="61">
        <v>46</v>
      </c>
    </row>
    <row r="92" spans="1:19" ht="15" thickBot="1" x14ac:dyDescent="0.2">
      <c r="A92" s="108"/>
      <c r="B92" s="109"/>
      <c r="C92" s="115"/>
      <c r="D92" s="110" t="str">
        <f>IFERROR(VLOOKUP(A92, S$5:T$26, 2, FALSE), "")</f>
        <v/>
      </c>
      <c r="E92" s="116"/>
      <c r="F92" s="114"/>
      <c r="G92" s="114"/>
      <c r="H92" s="30">
        <f>+F92*G92</f>
        <v>0</v>
      </c>
      <c r="I92" s="121"/>
      <c r="N92" s="69">
        <v>88</v>
      </c>
      <c r="P92" s="60">
        <f>+相手先マスタ!B89</f>
        <v>0</v>
      </c>
      <c r="Q92" s="60">
        <f>+相手先マスタ!D89</f>
        <v>0</v>
      </c>
      <c r="S92" s="61">
        <v>47</v>
      </c>
    </row>
    <row r="93" spans="1:19" ht="18" thickBot="1" x14ac:dyDescent="0.2">
      <c r="A93" s="35"/>
      <c r="B93" s="36"/>
      <c r="C93" s="36"/>
      <c r="D93" s="36" t="s">
        <v>101</v>
      </c>
      <c r="E93" s="36"/>
      <c r="F93" s="123">
        <v>8</v>
      </c>
      <c r="G93" s="125">
        <f>+ROUNDUP(H93/1.08,0)</f>
        <v>417</v>
      </c>
      <c r="H93" s="39">
        <f>+SUM(H63:H92)</f>
        <v>450</v>
      </c>
      <c r="I93" s="37"/>
      <c r="N93" s="69">
        <v>90</v>
      </c>
      <c r="P93" s="60">
        <f>+相手先マスタ!B90</f>
        <v>0</v>
      </c>
      <c r="Q93" s="60">
        <f>+相手先マスタ!D90</f>
        <v>0</v>
      </c>
      <c r="S93" s="61">
        <v>48</v>
      </c>
    </row>
    <row r="94" spans="1:19" ht="18" thickBot="1" x14ac:dyDescent="0.2">
      <c r="A94" s="7"/>
      <c r="B94" s="7"/>
      <c r="C94" s="7"/>
      <c r="D94" s="7"/>
      <c r="E94" s="124" t="s">
        <v>165</v>
      </c>
      <c r="F94" s="41" t="s">
        <v>16</v>
      </c>
      <c r="G94" s="34">
        <f>+ROUNDDOWN(H93/1.08*0.08,0)</f>
        <v>33</v>
      </c>
      <c r="H94" s="41" t="s">
        <v>156</v>
      </c>
      <c r="I94" s="64">
        <f>H93</f>
        <v>450</v>
      </c>
      <c r="N94" s="69">
        <v>91</v>
      </c>
      <c r="P94" s="60">
        <f>+相手先マスタ!B91</f>
        <v>0</v>
      </c>
      <c r="Q94" s="60">
        <f>+相手先マスタ!D91</f>
        <v>0</v>
      </c>
      <c r="S94" s="61">
        <v>49</v>
      </c>
    </row>
    <row r="95" spans="1:19" ht="18.75" x14ac:dyDescent="0.2">
      <c r="A95" s="42"/>
      <c r="B95" s="42"/>
      <c r="C95" s="42"/>
      <c r="D95" s="42"/>
      <c r="E95" s="42"/>
      <c r="F95" s="42"/>
      <c r="G95" s="42"/>
      <c r="H95" s="42"/>
      <c r="I95" s="42"/>
      <c r="N95" s="69">
        <v>92</v>
      </c>
      <c r="P95" s="60">
        <f>+相手先マスタ!B92</f>
        <v>0</v>
      </c>
      <c r="Q95" s="60">
        <f>+相手先マスタ!D92</f>
        <v>0</v>
      </c>
      <c r="S95" s="61">
        <v>50</v>
      </c>
    </row>
    <row r="96" spans="1:19" x14ac:dyDescent="0.15">
      <c r="N96" s="69">
        <v>93</v>
      </c>
      <c r="P96" s="60">
        <f>+相手先マスタ!B93</f>
        <v>0</v>
      </c>
      <c r="Q96" s="60">
        <f>+相手先マスタ!D93</f>
        <v>0</v>
      </c>
      <c r="S96" s="61">
        <v>51</v>
      </c>
    </row>
    <row r="97" spans="14:19" x14ac:dyDescent="0.15">
      <c r="N97" s="69">
        <v>94</v>
      </c>
      <c r="P97" s="60">
        <f>+相手先マスタ!B94</f>
        <v>0</v>
      </c>
      <c r="Q97" s="60">
        <f>+相手先マスタ!D94</f>
        <v>0</v>
      </c>
      <c r="S97" s="61">
        <v>52</v>
      </c>
    </row>
    <row r="98" spans="14:19" x14ac:dyDescent="0.15">
      <c r="N98" s="69">
        <v>95</v>
      </c>
      <c r="P98" s="60">
        <f>+相手先マスタ!B95</f>
        <v>0</v>
      </c>
      <c r="Q98" s="60">
        <f>+相手先マスタ!D95</f>
        <v>0</v>
      </c>
      <c r="S98" s="61">
        <v>53</v>
      </c>
    </row>
    <row r="99" spans="14:19" x14ac:dyDescent="0.15">
      <c r="N99" s="69">
        <v>96</v>
      </c>
      <c r="P99" s="60">
        <f>+相手先マスタ!B96</f>
        <v>0</v>
      </c>
      <c r="Q99" s="60">
        <f>+相手先マスタ!D96</f>
        <v>0</v>
      </c>
      <c r="S99" s="61">
        <v>54</v>
      </c>
    </row>
    <row r="100" spans="14:19" x14ac:dyDescent="0.15">
      <c r="N100" s="69">
        <v>97</v>
      </c>
      <c r="P100" s="60">
        <f>+相手先マスタ!B97</f>
        <v>0</v>
      </c>
      <c r="Q100" s="60">
        <f>+相手先マスタ!D97</f>
        <v>0</v>
      </c>
      <c r="S100" s="61">
        <v>55</v>
      </c>
    </row>
    <row r="101" spans="14:19" x14ac:dyDescent="0.15">
      <c r="N101" s="69">
        <v>98</v>
      </c>
      <c r="P101" s="60">
        <f>+相手先マスタ!B98</f>
        <v>0</v>
      </c>
      <c r="Q101" s="60">
        <f>+相手先マスタ!D98</f>
        <v>0</v>
      </c>
      <c r="S101" s="61">
        <v>56</v>
      </c>
    </row>
    <row r="102" spans="14:19" x14ac:dyDescent="0.15">
      <c r="N102" s="69">
        <v>99</v>
      </c>
      <c r="P102" s="60">
        <f>+相手先マスタ!B99</f>
        <v>0</v>
      </c>
      <c r="Q102" s="60">
        <f>+相手先マスタ!D99</f>
        <v>0</v>
      </c>
      <c r="S102" s="61">
        <v>57</v>
      </c>
    </row>
    <row r="103" spans="14:19" x14ac:dyDescent="0.15">
      <c r="S103" s="61">
        <v>58</v>
      </c>
    </row>
    <row r="104" spans="14:19" x14ac:dyDescent="0.15">
      <c r="S104" s="61">
        <v>59</v>
      </c>
    </row>
    <row r="105" spans="14:19" x14ac:dyDescent="0.15">
      <c r="S105" s="61">
        <v>60</v>
      </c>
    </row>
    <row r="106" spans="14:19" x14ac:dyDescent="0.15">
      <c r="S106" s="61">
        <v>61</v>
      </c>
    </row>
    <row r="107" spans="14:19" x14ac:dyDescent="0.15">
      <c r="S107" s="61">
        <v>62</v>
      </c>
    </row>
    <row r="108" spans="14:19" x14ac:dyDescent="0.15">
      <c r="S108" s="61">
        <v>63</v>
      </c>
    </row>
    <row r="109" spans="14:19" x14ac:dyDescent="0.15">
      <c r="S109" s="61">
        <v>64</v>
      </c>
    </row>
    <row r="110" spans="14:19" x14ac:dyDescent="0.15">
      <c r="S110" s="61">
        <v>65</v>
      </c>
    </row>
    <row r="111" spans="14:19" x14ac:dyDescent="0.15">
      <c r="S111" s="61">
        <v>66</v>
      </c>
    </row>
    <row r="112" spans="14:19" x14ac:dyDescent="0.15">
      <c r="S112" s="61">
        <v>67</v>
      </c>
    </row>
    <row r="113" spans="19:19" x14ac:dyDescent="0.15">
      <c r="S113" s="61">
        <v>68</v>
      </c>
    </row>
    <row r="114" spans="19:19" x14ac:dyDescent="0.15">
      <c r="S114" s="61">
        <v>69</v>
      </c>
    </row>
    <row r="115" spans="19:19" x14ac:dyDescent="0.15">
      <c r="S115" s="61">
        <v>70</v>
      </c>
    </row>
    <row r="116" spans="19:19" x14ac:dyDescent="0.15">
      <c r="S116" s="61">
        <v>71</v>
      </c>
    </row>
    <row r="117" spans="19:19" x14ac:dyDescent="0.15">
      <c r="S117" s="61">
        <v>72</v>
      </c>
    </row>
    <row r="118" spans="19:19" x14ac:dyDescent="0.15">
      <c r="S118" s="61">
        <v>73</v>
      </c>
    </row>
    <row r="119" spans="19:19" x14ac:dyDescent="0.15">
      <c r="S119" s="61">
        <v>74</v>
      </c>
    </row>
    <row r="120" spans="19:19" x14ac:dyDescent="0.15">
      <c r="S120" s="61">
        <v>75</v>
      </c>
    </row>
    <row r="121" spans="19:19" x14ac:dyDescent="0.15">
      <c r="S121" s="61">
        <v>76</v>
      </c>
    </row>
    <row r="122" spans="19:19" x14ac:dyDescent="0.15">
      <c r="S122" s="61">
        <v>77</v>
      </c>
    </row>
    <row r="123" spans="19:19" x14ac:dyDescent="0.15">
      <c r="S123" s="61">
        <v>78</v>
      </c>
    </row>
    <row r="124" spans="19:19" x14ac:dyDescent="0.15">
      <c r="S124" s="61">
        <v>79</v>
      </c>
    </row>
    <row r="125" spans="19:19" x14ac:dyDescent="0.15">
      <c r="S125" s="61">
        <v>80</v>
      </c>
    </row>
    <row r="126" spans="19:19" x14ac:dyDescent="0.15">
      <c r="S126" s="61">
        <v>81</v>
      </c>
    </row>
    <row r="127" spans="19:19" x14ac:dyDescent="0.15">
      <c r="S127" s="61">
        <v>82</v>
      </c>
    </row>
    <row r="128" spans="19:19" x14ac:dyDescent="0.15">
      <c r="S128" s="61">
        <v>83</v>
      </c>
    </row>
    <row r="129" spans="19:19" x14ac:dyDescent="0.15">
      <c r="S129" s="61">
        <v>84</v>
      </c>
    </row>
    <row r="130" spans="19:19" x14ac:dyDescent="0.15">
      <c r="S130" s="61">
        <v>85</v>
      </c>
    </row>
    <row r="131" spans="19:19" x14ac:dyDescent="0.15">
      <c r="S131" s="61">
        <v>86</v>
      </c>
    </row>
    <row r="132" spans="19:19" x14ac:dyDescent="0.15">
      <c r="S132" s="61">
        <v>87</v>
      </c>
    </row>
    <row r="133" spans="19:19" x14ac:dyDescent="0.15">
      <c r="S133" s="61">
        <v>88</v>
      </c>
    </row>
    <row r="134" spans="19:19" x14ac:dyDescent="0.15">
      <c r="S134" s="61">
        <v>89</v>
      </c>
    </row>
    <row r="135" spans="19:19" x14ac:dyDescent="0.15">
      <c r="S135" s="61">
        <v>90</v>
      </c>
    </row>
    <row r="136" spans="19:19" x14ac:dyDescent="0.15">
      <c r="S136" s="61">
        <v>91</v>
      </c>
    </row>
    <row r="137" spans="19:19" x14ac:dyDescent="0.15">
      <c r="S137" s="61">
        <v>92</v>
      </c>
    </row>
    <row r="138" spans="19:19" x14ac:dyDescent="0.15">
      <c r="S138" s="61">
        <v>93</v>
      </c>
    </row>
    <row r="139" spans="19:19" x14ac:dyDescent="0.15">
      <c r="S139" s="61">
        <v>94</v>
      </c>
    </row>
    <row r="140" spans="19:19" x14ac:dyDescent="0.15">
      <c r="S140" s="61">
        <v>95</v>
      </c>
    </row>
    <row r="141" spans="19:19" x14ac:dyDescent="0.15">
      <c r="S141" s="61">
        <v>96</v>
      </c>
    </row>
    <row r="142" spans="19:19" x14ac:dyDescent="0.15">
      <c r="S142" s="61">
        <v>97</v>
      </c>
    </row>
    <row r="143" spans="19:19" x14ac:dyDescent="0.15">
      <c r="S143" s="61">
        <v>98</v>
      </c>
    </row>
    <row r="144" spans="19:19" x14ac:dyDescent="0.15">
      <c r="S144" s="61">
        <v>99</v>
      </c>
    </row>
    <row r="145" spans="19:19" x14ac:dyDescent="0.15">
      <c r="S145" s="61">
        <v>100</v>
      </c>
    </row>
    <row r="146" spans="19:19" x14ac:dyDescent="0.15">
      <c r="S146" s="61">
        <v>101</v>
      </c>
    </row>
    <row r="147" spans="19:19" x14ac:dyDescent="0.15">
      <c r="S147" s="61">
        <v>102</v>
      </c>
    </row>
  </sheetData>
  <sheetProtection formatCells="0" formatColumns="0" formatRows="0" insertColumns="0" insertRows="0" insertHyperlinks="0" deleteColumns="0" deleteRows="0" sort="0" autoFilter="0" pivotTables="0"/>
  <mergeCells count="3">
    <mergeCell ref="H6:I7"/>
    <mergeCell ref="H29:I30"/>
    <mergeCell ref="H58:I59"/>
  </mergeCells>
  <phoneticPr fontId="2"/>
  <printOptions horizontalCentered="1"/>
  <pageMargins left="0.39370078740157499" right="0.39370078740157499" top="0.47244094488188998" bottom="0.23622047244094499" header="0.511811023622047" footer="0.511811023622047"/>
  <pageSetup paperSize="9" fitToHeight="2" orientation="portrait" r:id="rId1"/>
  <headerFooter alignWithMargins="0"/>
  <rowBreaks count="3" manualBreakCount="3">
    <brk id="52" max="8" man="1"/>
    <brk id="72" max="8" man="1"/>
    <brk id="73"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91">
              <controlPr defaultSize="0" print="0" autoPict="0" macro="[0]!pdf印刷3_Click" altText="PDF印刷">
                <anchor moveWithCells="1" sizeWithCells="1">
                  <from>
                    <xdr:col>11</xdr:col>
                    <xdr:colOff>123825</xdr:colOff>
                    <xdr:row>5</xdr:row>
                    <xdr:rowOff>142875</xdr:rowOff>
                  </from>
                  <to>
                    <xdr:col>13</xdr:col>
                    <xdr:colOff>38100</xdr:colOff>
                    <xdr:row>8</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4F580-706D-4B9F-A7A3-737CD0426551}">
  <sheetPr codeName="Sheet3"/>
  <dimension ref="A1"/>
  <sheetViews>
    <sheetView topLeftCell="A13" workbookViewId="0">
      <selection activeCell="M40" sqref="M40"/>
    </sheetView>
  </sheetViews>
  <sheetFormatPr defaultRowHeight="14.25" x14ac:dyDescent="0.15"/>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vt:i4>
      </vt:variant>
    </vt:vector>
  </HeadingPairs>
  <TitlesOfParts>
    <vt:vector size="11" baseType="lpstr">
      <vt:lpstr>納品請求書1枚版</vt:lpstr>
      <vt:lpstr>入力消費税なし</vt:lpstr>
      <vt:lpstr>仕訳</vt:lpstr>
      <vt:lpstr>相手先マスタ</vt:lpstr>
      <vt:lpstr>科目マスタ</vt:lpstr>
      <vt:lpstr>消費税マスタ</vt:lpstr>
      <vt:lpstr>固定資産台帳</vt:lpstr>
      <vt:lpstr>納品請求書消費税版</vt:lpstr>
      <vt:lpstr>入力消費税あり</vt:lpstr>
      <vt:lpstr>納品請求書1枚版!Print_Area</vt:lpstr>
      <vt:lpstr>納品請求書消費税版!Print_Area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Ryota Nakamura</dc:creator>
  <cp:lastModifiedBy>RYOTA-PC2</cp:lastModifiedBy>
  <cp:revision>4</cp:revision>
  <cp:lastPrinted>2026-09-22T23:11:23Z</cp:lastPrinted>
  <dcterms:created xsi:type="dcterms:W3CDTF">2023-07-04T23:20:00Z</dcterms:created>
  <dcterms:modified xsi:type="dcterms:W3CDTF">2026-10-05T01:20:48Z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1041-11.2.0.10624</vt:lpwstr>
  </property>
  <property fmtid="{D5CDD505-2E9C-101B-9397-08002B2CF9AE}" pid="3" name="ICV">
    <vt:lpwstr>1284EABD00A84D39AD2A048349011E54</vt:lpwstr>
  </property>
</Properties>
</file>